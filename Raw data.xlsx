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ffany/Downloads/"/>
    </mc:Choice>
  </mc:AlternateContent>
  <xr:revisionPtr revIDLastSave="0" documentId="13_ncr:1_{20FC1129-3CAB-AB4F-B13E-F9D34DC4C281}" xr6:coauthVersionLast="47" xr6:coauthVersionMax="47" xr10:uidLastSave="{00000000-0000-0000-0000-000000000000}"/>
  <bookViews>
    <workbookView xWindow="980" yWindow="500" windowWidth="27700" windowHeight="15480" xr2:uid="{1B68F8AB-4751-194A-A1E7-F9CB5143EA4C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8" i="2" l="1"/>
  <c r="BD76" i="2"/>
  <c r="BB76" i="2"/>
  <c r="AT76" i="2"/>
  <c r="AL76" i="2"/>
  <c r="N77" i="2"/>
  <c r="B76" i="2"/>
  <c r="J77" i="2"/>
  <c r="BX72" i="2"/>
  <c r="BX51" i="2"/>
  <c r="BX16" i="2"/>
  <c r="BX17" i="2"/>
  <c r="BX18" i="2"/>
  <c r="BX73" i="2"/>
  <c r="BX19" i="2"/>
  <c r="BX33" i="2"/>
  <c r="BX34" i="2"/>
  <c r="BX52" i="2"/>
  <c r="BX74" i="2"/>
  <c r="BX43" i="2"/>
  <c r="BV72" i="2"/>
  <c r="BV51" i="2"/>
  <c r="BV16" i="2"/>
  <c r="BV17" i="2"/>
  <c r="BV18" i="2"/>
  <c r="BV73" i="2"/>
  <c r="BV19" i="2"/>
  <c r="BV33" i="2"/>
  <c r="BV34" i="2"/>
  <c r="BV52" i="2"/>
  <c r="BV74" i="2"/>
  <c r="BV43" i="2"/>
  <c r="BT72" i="2"/>
  <c r="BT51" i="2"/>
  <c r="BT16" i="2"/>
  <c r="BT17" i="2"/>
  <c r="BT18" i="2"/>
  <c r="BT73" i="2"/>
  <c r="BT19" i="2"/>
  <c r="BT33" i="2"/>
  <c r="BT34" i="2"/>
  <c r="BT52" i="2"/>
  <c r="BT74" i="2"/>
  <c r="BT43" i="2"/>
  <c r="BR72" i="2"/>
  <c r="BR51" i="2"/>
  <c r="BR16" i="2"/>
  <c r="BR17" i="2"/>
  <c r="BR18" i="2"/>
  <c r="BR73" i="2"/>
  <c r="BR19" i="2"/>
  <c r="BR33" i="2"/>
  <c r="BR34" i="2"/>
  <c r="BR52" i="2"/>
  <c r="BR74" i="2"/>
  <c r="BR43" i="2"/>
  <c r="BP72" i="2"/>
  <c r="BP51" i="2"/>
  <c r="BP16" i="2"/>
  <c r="BP17" i="2"/>
  <c r="BP18" i="2"/>
  <c r="BP73" i="2"/>
  <c r="BP19" i="2"/>
  <c r="BP33" i="2"/>
  <c r="BP34" i="2"/>
  <c r="BP52" i="2"/>
  <c r="BP74" i="2"/>
  <c r="BP43" i="2"/>
  <c r="BK70" i="2"/>
  <c r="BI72" i="2"/>
  <c r="BI51" i="2"/>
  <c r="BI16" i="2"/>
  <c r="BI17" i="2"/>
  <c r="BI18" i="2"/>
  <c r="BI73" i="2"/>
  <c r="BI19" i="2"/>
  <c r="BI33" i="2"/>
  <c r="BO33" i="2" s="1"/>
  <c r="BI34" i="2"/>
  <c r="BI52" i="2"/>
  <c r="BI74" i="2"/>
  <c r="BI43" i="2"/>
  <c r="BG72" i="2"/>
  <c r="BG51" i="2"/>
  <c r="BG16" i="2"/>
  <c r="BG17" i="2"/>
  <c r="BO17" i="2" s="1"/>
  <c r="BG18" i="2"/>
  <c r="BO18" i="2" s="1"/>
  <c r="BG73" i="2"/>
  <c r="BO73" i="2" s="1"/>
  <c r="BG19" i="2"/>
  <c r="BG33" i="2"/>
  <c r="BG34" i="2"/>
  <c r="BG52" i="2"/>
  <c r="BG74" i="2"/>
  <c r="BG43" i="2"/>
  <c r="BO43" i="2" s="1"/>
  <c r="BD72" i="2"/>
  <c r="BD51" i="2"/>
  <c r="BD16" i="2"/>
  <c r="BD17" i="2"/>
  <c r="BD18" i="2"/>
  <c r="BD73" i="2"/>
  <c r="BD19" i="2"/>
  <c r="BD33" i="2"/>
  <c r="BD34" i="2"/>
  <c r="BD52" i="2"/>
  <c r="BD74" i="2"/>
  <c r="BD43" i="2"/>
  <c r="BB72" i="2"/>
  <c r="BB51" i="2"/>
  <c r="BB16" i="2"/>
  <c r="BB17" i="2"/>
  <c r="BB18" i="2"/>
  <c r="BB73" i="2"/>
  <c r="BB19" i="2"/>
  <c r="BB33" i="2"/>
  <c r="BB34" i="2"/>
  <c r="BB52" i="2"/>
  <c r="BB74" i="2"/>
  <c r="BB43" i="2"/>
  <c r="AZ72" i="2"/>
  <c r="AZ51" i="2"/>
  <c r="AZ16" i="2"/>
  <c r="AZ17" i="2"/>
  <c r="AZ18" i="2"/>
  <c r="AZ73" i="2"/>
  <c r="AZ19" i="2"/>
  <c r="AZ33" i="2"/>
  <c r="AZ34" i="2"/>
  <c r="AZ52" i="2"/>
  <c r="AZ74" i="2"/>
  <c r="AZ43" i="2"/>
  <c r="AX72" i="2"/>
  <c r="AX51" i="2"/>
  <c r="AX16" i="2"/>
  <c r="AX17" i="2"/>
  <c r="AX18" i="2"/>
  <c r="AX73" i="2"/>
  <c r="AX19" i="2"/>
  <c r="AX33" i="2"/>
  <c r="AX34" i="2"/>
  <c r="AX52" i="2"/>
  <c r="AX74" i="2"/>
  <c r="AX43" i="2"/>
  <c r="AV72" i="2"/>
  <c r="AV51" i="2"/>
  <c r="AV16" i="2"/>
  <c r="AV17" i="2"/>
  <c r="AV18" i="2"/>
  <c r="AV73" i="2"/>
  <c r="AV19" i="2"/>
  <c r="AV33" i="2"/>
  <c r="AV34" i="2"/>
  <c r="AV52" i="2"/>
  <c r="AV74" i="2"/>
  <c r="AV43" i="2"/>
  <c r="AT72" i="2"/>
  <c r="AT51" i="2"/>
  <c r="AT16" i="2"/>
  <c r="AT17" i="2"/>
  <c r="AT18" i="2"/>
  <c r="AT73" i="2"/>
  <c r="AT19" i="2"/>
  <c r="AT33" i="2"/>
  <c r="AT34" i="2"/>
  <c r="AT52" i="2"/>
  <c r="AT74" i="2"/>
  <c r="AT43" i="2"/>
  <c r="AR72" i="2"/>
  <c r="AR51" i="2"/>
  <c r="AR16" i="2"/>
  <c r="AR17" i="2"/>
  <c r="AR18" i="2"/>
  <c r="AR73" i="2"/>
  <c r="AR19" i="2"/>
  <c r="AR33" i="2"/>
  <c r="AR34" i="2"/>
  <c r="AR52" i="2"/>
  <c r="AR74" i="2"/>
  <c r="AR43" i="2"/>
  <c r="AP72" i="2"/>
  <c r="AP51" i="2"/>
  <c r="AP16" i="2"/>
  <c r="AP17" i="2"/>
  <c r="AP18" i="2"/>
  <c r="AP73" i="2"/>
  <c r="AP19" i="2"/>
  <c r="AP33" i="2"/>
  <c r="AP34" i="2"/>
  <c r="AP52" i="2"/>
  <c r="AP74" i="2"/>
  <c r="AP43" i="2"/>
  <c r="AN72" i="2"/>
  <c r="AN51" i="2"/>
  <c r="AN16" i="2"/>
  <c r="AN17" i="2"/>
  <c r="AN18" i="2"/>
  <c r="AN73" i="2"/>
  <c r="AN19" i="2"/>
  <c r="AN33" i="2"/>
  <c r="AN34" i="2"/>
  <c r="AN52" i="2"/>
  <c r="AN74" i="2"/>
  <c r="AN43" i="2"/>
  <c r="AL72" i="2"/>
  <c r="AL51" i="2"/>
  <c r="AL16" i="2"/>
  <c r="AL17" i="2"/>
  <c r="AL18" i="2"/>
  <c r="AL73" i="2"/>
  <c r="BF73" i="2" s="1"/>
  <c r="AL19" i="2"/>
  <c r="AL33" i="2"/>
  <c r="AL34" i="2"/>
  <c r="AL52" i="2"/>
  <c r="AL74" i="2"/>
  <c r="AL43" i="2"/>
  <c r="AI72" i="2"/>
  <c r="AI51" i="2"/>
  <c r="AI16" i="2"/>
  <c r="AI17" i="2"/>
  <c r="AI18" i="2"/>
  <c r="AI73" i="2"/>
  <c r="AI19" i="2"/>
  <c r="AI33" i="2"/>
  <c r="AI34" i="2"/>
  <c r="AI52" i="2"/>
  <c r="AI74" i="2"/>
  <c r="AI43" i="2"/>
  <c r="AG72" i="2"/>
  <c r="AG51" i="2"/>
  <c r="AG16" i="2"/>
  <c r="AG17" i="2"/>
  <c r="AG18" i="2"/>
  <c r="AG73" i="2"/>
  <c r="AG19" i="2"/>
  <c r="AG33" i="2"/>
  <c r="AG34" i="2"/>
  <c r="AG52" i="2"/>
  <c r="AG74" i="2"/>
  <c r="AG43" i="2"/>
  <c r="AE72" i="2"/>
  <c r="AE51" i="2"/>
  <c r="AE16" i="2"/>
  <c r="AE17" i="2"/>
  <c r="AE18" i="2"/>
  <c r="AE73" i="2"/>
  <c r="AE19" i="2"/>
  <c r="AE33" i="2"/>
  <c r="AE34" i="2"/>
  <c r="AE52" i="2"/>
  <c r="AE74" i="2"/>
  <c r="AE43" i="2"/>
  <c r="AC72" i="2"/>
  <c r="AC51" i="2"/>
  <c r="AC16" i="2"/>
  <c r="AC17" i="2"/>
  <c r="AC18" i="2"/>
  <c r="AC73" i="2"/>
  <c r="AC19" i="2"/>
  <c r="AC33" i="2"/>
  <c r="AC34" i="2"/>
  <c r="AC52" i="2"/>
  <c r="AC74" i="2"/>
  <c r="AC43" i="2"/>
  <c r="AA72" i="2"/>
  <c r="AA51" i="2"/>
  <c r="AA16" i="2"/>
  <c r="AA17" i="2"/>
  <c r="AA18" i="2"/>
  <c r="AA73" i="2"/>
  <c r="AA19" i="2"/>
  <c r="AA33" i="2"/>
  <c r="AA34" i="2"/>
  <c r="AA52" i="2"/>
  <c r="AA74" i="2"/>
  <c r="AA43" i="2"/>
  <c r="Y72" i="2"/>
  <c r="Y51" i="2"/>
  <c r="Y16" i="2"/>
  <c r="Y17" i="2"/>
  <c r="Y18" i="2"/>
  <c r="Y73" i="2"/>
  <c r="Y19" i="2"/>
  <c r="Y33" i="2"/>
  <c r="Y34" i="2"/>
  <c r="Y52" i="2"/>
  <c r="Y74" i="2"/>
  <c r="Y43" i="2"/>
  <c r="W43" i="2"/>
  <c r="W72" i="2"/>
  <c r="W51" i="2"/>
  <c r="W16" i="2"/>
  <c r="W17" i="2"/>
  <c r="W18" i="2"/>
  <c r="W73" i="2"/>
  <c r="W19" i="2"/>
  <c r="W33" i="2"/>
  <c r="W34" i="2"/>
  <c r="W52" i="2"/>
  <c r="W74" i="2"/>
  <c r="U72" i="2"/>
  <c r="U51" i="2"/>
  <c r="U16" i="2"/>
  <c r="U17" i="2"/>
  <c r="U18" i="2"/>
  <c r="U73" i="2"/>
  <c r="U19" i="2"/>
  <c r="U33" i="2"/>
  <c r="U34" i="2"/>
  <c r="U52" i="2"/>
  <c r="U74" i="2"/>
  <c r="U43" i="2"/>
  <c r="S72" i="2"/>
  <c r="S51" i="2"/>
  <c r="S16" i="2"/>
  <c r="S17" i="2"/>
  <c r="S18" i="2"/>
  <c r="S73" i="2"/>
  <c r="S19" i="2"/>
  <c r="S33" i="2"/>
  <c r="S34" i="2"/>
  <c r="S52" i="2"/>
  <c r="S74" i="2"/>
  <c r="S43" i="2"/>
  <c r="Q72" i="2"/>
  <c r="Q51" i="2"/>
  <c r="Q16" i="2"/>
  <c r="Q17" i="2"/>
  <c r="AK17" i="2" s="1"/>
  <c r="Q18" i="2"/>
  <c r="Q73" i="2"/>
  <c r="Q19" i="2"/>
  <c r="Q33" i="2"/>
  <c r="Q34" i="2"/>
  <c r="Q52" i="2"/>
  <c r="Q74" i="2"/>
  <c r="Q43" i="2"/>
  <c r="BD3" i="2"/>
  <c r="BD4" i="2"/>
  <c r="BD5" i="2"/>
  <c r="BD6" i="2"/>
  <c r="BD7" i="2"/>
  <c r="BD8" i="2"/>
  <c r="BD9" i="2"/>
  <c r="BD10" i="2"/>
  <c r="BD11" i="2"/>
  <c r="BD12" i="2"/>
  <c r="BD13" i="2"/>
  <c r="BD14" i="2"/>
  <c r="BD15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5" i="2"/>
  <c r="BD36" i="2"/>
  <c r="BD37" i="2"/>
  <c r="BD38" i="2"/>
  <c r="BD39" i="2"/>
  <c r="BD40" i="2"/>
  <c r="BD41" i="2"/>
  <c r="BD42" i="2"/>
  <c r="BD44" i="2"/>
  <c r="BD45" i="2"/>
  <c r="BD46" i="2"/>
  <c r="BD47" i="2"/>
  <c r="BD48" i="2"/>
  <c r="BD53" i="2"/>
  <c r="BD49" i="2"/>
  <c r="BD50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2" i="2"/>
  <c r="BB3" i="2"/>
  <c r="BB4" i="2"/>
  <c r="BB5" i="2"/>
  <c r="BB6" i="2"/>
  <c r="BB7" i="2"/>
  <c r="BB8" i="2"/>
  <c r="BB9" i="2"/>
  <c r="BB10" i="2"/>
  <c r="BB11" i="2"/>
  <c r="BB12" i="2"/>
  <c r="BB13" i="2"/>
  <c r="BB14" i="2"/>
  <c r="BB15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5" i="2"/>
  <c r="BB36" i="2"/>
  <c r="BB37" i="2"/>
  <c r="BB38" i="2"/>
  <c r="BB39" i="2"/>
  <c r="BB40" i="2"/>
  <c r="BB41" i="2"/>
  <c r="BB42" i="2"/>
  <c r="BB44" i="2"/>
  <c r="BB45" i="2"/>
  <c r="BB46" i="2"/>
  <c r="BB47" i="2"/>
  <c r="BB48" i="2"/>
  <c r="BB53" i="2"/>
  <c r="BB49" i="2"/>
  <c r="BB50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5" i="2"/>
  <c r="AT36" i="2"/>
  <c r="AT37" i="2"/>
  <c r="AT38" i="2"/>
  <c r="AT39" i="2"/>
  <c r="AT40" i="2"/>
  <c r="AT41" i="2"/>
  <c r="AT42" i="2"/>
  <c r="AT44" i="2"/>
  <c r="AT45" i="2"/>
  <c r="AT46" i="2"/>
  <c r="AT47" i="2"/>
  <c r="AT48" i="2"/>
  <c r="AT53" i="2"/>
  <c r="AT49" i="2"/>
  <c r="AT50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5" i="2"/>
  <c r="AL36" i="2"/>
  <c r="AL37" i="2"/>
  <c r="AL38" i="2"/>
  <c r="AL39" i="2"/>
  <c r="AL40" i="2"/>
  <c r="AL41" i="2"/>
  <c r="AL42" i="2"/>
  <c r="AL44" i="2"/>
  <c r="AL45" i="2"/>
  <c r="AL46" i="2"/>
  <c r="AL47" i="2"/>
  <c r="AL48" i="2"/>
  <c r="AL53" i="2"/>
  <c r="AL49" i="2"/>
  <c r="AL50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5" i="2"/>
  <c r="AG36" i="2"/>
  <c r="AG37" i="2"/>
  <c r="AG38" i="2"/>
  <c r="AG39" i="2"/>
  <c r="AG40" i="2"/>
  <c r="AG41" i="2"/>
  <c r="AG42" i="2"/>
  <c r="AG44" i="2"/>
  <c r="AG45" i="2"/>
  <c r="AG46" i="2"/>
  <c r="AG47" i="2"/>
  <c r="AG48" i="2"/>
  <c r="AG53" i="2"/>
  <c r="AG49" i="2"/>
  <c r="AG50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5" i="2"/>
  <c r="AE36" i="2"/>
  <c r="AE37" i="2"/>
  <c r="AE38" i="2"/>
  <c r="AE39" i="2"/>
  <c r="AE40" i="2"/>
  <c r="AE41" i="2"/>
  <c r="AE42" i="2"/>
  <c r="AE44" i="2"/>
  <c r="AE45" i="2"/>
  <c r="AE46" i="2"/>
  <c r="AE47" i="2"/>
  <c r="AE48" i="2"/>
  <c r="AE53" i="2"/>
  <c r="AE49" i="2"/>
  <c r="AE50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5" i="2"/>
  <c r="AA36" i="2"/>
  <c r="AA37" i="2"/>
  <c r="AA38" i="2"/>
  <c r="AA39" i="2"/>
  <c r="AA40" i="2"/>
  <c r="AA41" i="2"/>
  <c r="AA42" i="2"/>
  <c r="AA44" i="2"/>
  <c r="AA45" i="2"/>
  <c r="AA46" i="2"/>
  <c r="AA47" i="2"/>
  <c r="AA48" i="2"/>
  <c r="AA53" i="2"/>
  <c r="AA49" i="2"/>
  <c r="AA50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5" i="2"/>
  <c r="Y36" i="2"/>
  <c r="Y37" i="2"/>
  <c r="Y38" i="2"/>
  <c r="Y39" i="2"/>
  <c r="Y40" i="2"/>
  <c r="Y41" i="2"/>
  <c r="Y42" i="2"/>
  <c r="Y44" i="2"/>
  <c r="Y45" i="2"/>
  <c r="Y46" i="2"/>
  <c r="Y47" i="2"/>
  <c r="Y48" i="2"/>
  <c r="Y53" i="2"/>
  <c r="Y49" i="2"/>
  <c r="Y50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5" i="2"/>
  <c r="U36" i="2"/>
  <c r="U37" i="2"/>
  <c r="U38" i="2"/>
  <c r="U39" i="2"/>
  <c r="U40" i="2"/>
  <c r="U41" i="2"/>
  <c r="U42" i="2"/>
  <c r="U44" i="2"/>
  <c r="U45" i="2"/>
  <c r="U46" i="2"/>
  <c r="U47" i="2"/>
  <c r="U48" i="2"/>
  <c r="U53" i="2"/>
  <c r="U49" i="2"/>
  <c r="U50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2" i="2"/>
  <c r="BM5" i="2"/>
  <c r="BM6" i="2"/>
  <c r="BM8" i="2"/>
  <c r="BM9" i="2"/>
  <c r="BM10" i="2"/>
  <c r="BM12" i="2"/>
  <c r="BM14" i="2"/>
  <c r="BM15" i="2"/>
  <c r="BM21" i="2"/>
  <c r="BM23" i="2"/>
  <c r="BM25" i="2"/>
  <c r="BM26" i="2"/>
  <c r="BM27" i="2"/>
  <c r="BM28" i="2"/>
  <c r="BM30" i="2"/>
  <c r="BM31" i="2"/>
  <c r="BM32" i="2"/>
  <c r="BM36" i="2"/>
  <c r="BM37" i="2"/>
  <c r="BM38" i="2"/>
  <c r="BM39" i="2"/>
  <c r="BM41" i="2"/>
  <c r="BM42" i="2"/>
  <c r="BM44" i="2"/>
  <c r="BM45" i="2"/>
  <c r="BM46" i="2"/>
  <c r="BM47" i="2"/>
  <c r="BM48" i="2"/>
  <c r="BM53" i="2"/>
  <c r="BM49" i="2"/>
  <c r="BM56" i="2"/>
  <c r="BM57" i="2"/>
  <c r="BM59" i="2"/>
  <c r="BM60" i="2"/>
  <c r="BM62" i="2"/>
  <c r="BM65" i="2"/>
  <c r="BM66" i="2"/>
  <c r="BM68" i="2"/>
  <c r="BM69" i="2"/>
  <c r="BM70" i="2"/>
  <c r="BM71" i="2"/>
  <c r="BM2" i="2"/>
  <c r="BK5" i="2"/>
  <c r="BK6" i="2"/>
  <c r="BK8" i="2"/>
  <c r="BK9" i="2"/>
  <c r="BK10" i="2"/>
  <c r="BK12" i="2"/>
  <c r="BK14" i="2"/>
  <c r="BK15" i="2"/>
  <c r="BK23" i="2"/>
  <c r="BK24" i="2"/>
  <c r="BK25" i="2"/>
  <c r="BK26" i="2"/>
  <c r="BK27" i="2"/>
  <c r="BK28" i="2"/>
  <c r="BK30" i="2"/>
  <c r="BK31" i="2"/>
  <c r="BK32" i="2"/>
  <c r="BK36" i="2"/>
  <c r="BK37" i="2"/>
  <c r="BK38" i="2"/>
  <c r="BK39" i="2"/>
  <c r="BK42" i="2"/>
  <c r="BK44" i="2"/>
  <c r="BK46" i="2"/>
  <c r="BK47" i="2"/>
  <c r="BK53" i="2"/>
  <c r="BK49" i="2"/>
  <c r="BK54" i="2"/>
  <c r="BK55" i="2"/>
  <c r="BK56" i="2"/>
  <c r="BK57" i="2"/>
  <c r="BK59" i="2"/>
  <c r="BK62" i="2"/>
  <c r="BK64" i="2"/>
  <c r="BK65" i="2"/>
  <c r="BK66" i="2"/>
  <c r="BK68" i="2"/>
  <c r="BK69" i="2"/>
  <c r="BK2" i="2"/>
  <c r="BG3" i="2"/>
  <c r="BG4" i="2"/>
  <c r="BG5" i="2"/>
  <c r="BG6" i="2"/>
  <c r="BG7" i="2"/>
  <c r="BG8" i="2"/>
  <c r="BG9" i="2"/>
  <c r="BG10" i="2"/>
  <c r="BG11" i="2"/>
  <c r="BG12" i="2"/>
  <c r="BG13" i="2"/>
  <c r="BG14" i="2"/>
  <c r="BG15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5" i="2"/>
  <c r="BG36" i="2"/>
  <c r="BG37" i="2"/>
  <c r="BG38" i="2"/>
  <c r="BG39" i="2"/>
  <c r="BG40" i="2"/>
  <c r="BG41" i="2"/>
  <c r="BG42" i="2"/>
  <c r="BG44" i="2"/>
  <c r="BG45" i="2"/>
  <c r="BG46" i="2"/>
  <c r="BG47" i="2"/>
  <c r="BG48" i="2"/>
  <c r="BG53" i="2"/>
  <c r="BG49" i="2"/>
  <c r="BG50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2" i="2"/>
  <c r="BI3" i="2"/>
  <c r="BI4" i="2"/>
  <c r="BI5" i="2"/>
  <c r="BI6" i="2"/>
  <c r="BI7" i="2"/>
  <c r="BI8" i="2"/>
  <c r="BI9" i="2"/>
  <c r="BI10" i="2"/>
  <c r="BI11" i="2"/>
  <c r="BI12" i="2"/>
  <c r="BI13" i="2"/>
  <c r="BI14" i="2"/>
  <c r="BI15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5" i="2"/>
  <c r="BI36" i="2"/>
  <c r="BI37" i="2"/>
  <c r="BI38" i="2"/>
  <c r="BI39" i="2"/>
  <c r="BI40" i="2"/>
  <c r="BI41" i="2"/>
  <c r="BI42" i="2"/>
  <c r="BI44" i="2"/>
  <c r="BI45" i="2"/>
  <c r="BI46" i="2"/>
  <c r="BI47" i="2"/>
  <c r="BI48" i="2"/>
  <c r="BI53" i="2"/>
  <c r="BI49" i="2"/>
  <c r="BI50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2" i="2"/>
  <c r="Q2" i="2"/>
  <c r="S2" i="2"/>
  <c r="W2" i="2"/>
  <c r="AC2" i="2"/>
  <c r="AI2" i="2"/>
  <c r="AN2" i="2"/>
  <c r="AP2" i="2"/>
  <c r="AV2" i="2"/>
  <c r="AX2" i="2"/>
  <c r="AZ2" i="2"/>
  <c r="BP2" i="2"/>
  <c r="BR2" i="2"/>
  <c r="BT2" i="2"/>
  <c r="BV2" i="2"/>
  <c r="BX2" i="2"/>
  <c r="AR3" i="2"/>
  <c r="P72" i="2"/>
  <c r="BX71" i="2"/>
  <c r="BV71" i="2"/>
  <c r="BT71" i="2"/>
  <c r="BR71" i="2"/>
  <c r="BP71" i="2"/>
  <c r="AZ71" i="2"/>
  <c r="AX71" i="2"/>
  <c r="AV71" i="2"/>
  <c r="AR71" i="2"/>
  <c r="AP71" i="2"/>
  <c r="AN71" i="2"/>
  <c r="AI71" i="2"/>
  <c r="AC71" i="2"/>
  <c r="W71" i="2"/>
  <c r="S71" i="2"/>
  <c r="Q71" i="2"/>
  <c r="BX70" i="2"/>
  <c r="BV70" i="2"/>
  <c r="BT70" i="2"/>
  <c r="BR70" i="2"/>
  <c r="BP70" i="2"/>
  <c r="AZ70" i="2"/>
  <c r="AX70" i="2"/>
  <c r="AV70" i="2"/>
  <c r="AR70" i="2"/>
  <c r="AP70" i="2"/>
  <c r="AN70" i="2"/>
  <c r="AI70" i="2"/>
  <c r="AC70" i="2"/>
  <c r="W70" i="2"/>
  <c r="S70" i="2"/>
  <c r="Q70" i="2"/>
  <c r="BX69" i="2"/>
  <c r="BV69" i="2"/>
  <c r="BT69" i="2"/>
  <c r="BR69" i="2"/>
  <c r="BP69" i="2"/>
  <c r="AZ69" i="2"/>
  <c r="AX69" i="2"/>
  <c r="AV69" i="2"/>
  <c r="AR69" i="2"/>
  <c r="AP69" i="2"/>
  <c r="AN69" i="2"/>
  <c r="AI69" i="2"/>
  <c r="AC69" i="2"/>
  <c r="W69" i="2"/>
  <c r="S69" i="2"/>
  <c r="Q69" i="2"/>
  <c r="BX68" i="2"/>
  <c r="BV68" i="2"/>
  <c r="BT68" i="2"/>
  <c r="BR68" i="2"/>
  <c r="BP68" i="2"/>
  <c r="AZ68" i="2"/>
  <c r="AX68" i="2"/>
  <c r="AV68" i="2"/>
  <c r="AR68" i="2"/>
  <c r="AP68" i="2"/>
  <c r="AN68" i="2"/>
  <c r="AI68" i="2"/>
  <c r="AC68" i="2"/>
  <c r="W68" i="2"/>
  <c r="S68" i="2"/>
  <c r="Q68" i="2"/>
  <c r="BX67" i="2"/>
  <c r="BV67" i="2"/>
  <c r="BT67" i="2"/>
  <c r="BR67" i="2"/>
  <c r="BP67" i="2"/>
  <c r="AZ67" i="2"/>
  <c r="AX67" i="2"/>
  <c r="AV67" i="2"/>
  <c r="AR67" i="2"/>
  <c r="AP67" i="2"/>
  <c r="AN67" i="2"/>
  <c r="AI67" i="2"/>
  <c r="AC67" i="2"/>
  <c r="W67" i="2"/>
  <c r="S67" i="2"/>
  <c r="Q67" i="2"/>
  <c r="BX66" i="2"/>
  <c r="BV66" i="2"/>
  <c r="BT66" i="2"/>
  <c r="BR66" i="2"/>
  <c r="BP66" i="2"/>
  <c r="AZ66" i="2"/>
  <c r="AX66" i="2"/>
  <c r="AV66" i="2"/>
  <c r="AR66" i="2"/>
  <c r="AP66" i="2"/>
  <c r="AN66" i="2"/>
  <c r="AI66" i="2"/>
  <c r="AC66" i="2"/>
  <c r="W66" i="2"/>
  <c r="S66" i="2"/>
  <c r="Q66" i="2"/>
  <c r="BX65" i="2"/>
  <c r="BV65" i="2"/>
  <c r="BT65" i="2"/>
  <c r="BR65" i="2"/>
  <c r="BP65" i="2"/>
  <c r="AZ65" i="2"/>
  <c r="AX65" i="2"/>
  <c r="AV65" i="2"/>
  <c r="AR65" i="2"/>
  <c r="AP65" i="2"/>
  <c r="AN65" i="2"/>
  <c r="AI65" i="2"/>
  <c r="AC65" i="2"/>
  <c r="W65" i="2"/>
  <c r="S65" i="2"/>
  <c r="Q65" i="2"/>
  <c r="BX64" i="2"/>
  <c r="BV64" i="2"/>
  <c r="BT64" i="2"/>
  <c r="BR64" i="2"/>
  <c r="BP64" i="2"/>
  <c r="AZ64" i="2"/>
  <c r="AX64" i="2"/>
  <c r="AV64" i="2"/>
  <c r="AR64" i="2"/>
  <c r="AP64" i="2"/>
  <c r="AN64" i="2"/>
  <c r="AI64" i="2"/>
  <c r="AC64" i="2"/>
  <c r="W64" i="2"/>
  <c r="S64" i="2"/>
  <c r="Q64" i="2"/>
  <c r="BX63" i="2"/>
  <c r="BV63" i="2"/>
  <c r="BT63" i="2"/>
  <c r="BR63" i="2"/>
  <c r="BP63" i="2"/>
  <c r="AZ63" i="2"/>
  <c r="AX63" i="2"/>
  <c r="AV63" i="2"/>
  <c r="AR63" i="2"/>
  <c r="AP63" i="2"/>
  <c r="AN63" i="2"/>
  <c r="AI63" i="2"/>
  <c r="AC63" i="2"/>
  <c r="W63" i="2"/>
  <c r="S63" i="2"/>
  <c r="Q63" i="2"/>
  <c r="BX62" i="2"/>
  <c r="BV62" i="2"/>
  <c r="BT62" i="2"/>
  <c r="BR62" i="2"/>
  <c r="BP62" i="2"/>
  <c r="AZ62" i="2"/>
  <c r="AX62" i="2"/>
  <c r="AV62" i="2"/>
  <c r="AR62" i="2"/>
  <c r="AP62" i="2"/>
  <c r="AN62" i="2"/>
  <c r="AI62" i="2"/>
  <c r="AC62" i="2"/>
  <c r="W62" i="2"/>
  <c r="S62" i="2"/>
  <c r="Q62" i="2"/>
  <c r="BX61" i="2"/>
  <c r="BV61" i="2"/>
  <c r="BT61" i="2"/>
  <c r="BR61" i="2"/>
  <c r="BP61" i="2"/>
  <c r="AZ61" i="2"/>
  <c r="AX61" i="2"/>
  <c r="AV61" i="2"/>
  <c r="AR61" i="2"/>
  <c r="AP61" i="2"/>
  <c r="AN61" i="2"/>
  <c r="AI61" i="2"/>
  <c r="AC61" i="2"/>
  <c r="W61" i="2"/>
  <c r="S61" i="2"/>
  <c r="Q61" i="2"/>
  <c r="BX60" i="2"/>
  <c r="BV60" i="2"/>
  <c r="BT60" i="2"/>
  <c r="BR60" i="2"/>
  <c r="BP60" i="2"/>
  <c r="AZ60" i="2"/>
  <c r="AX60" i="2"/>
  <c r="AV60" i="2"/>
  <c r="AR60" i="2"/>
  <c r="AP60" i="2"/>
  <c r="AN60" i="2"/>
  <c r="AI60" i="2"/>
  <c r="AC60" i="2"/>
  <c r="W60" i="2"/>
  <c r="S60" i="2"/>
  <c r="Q60" i="2"/>
  <c r="BX59" i="2"/>
  <c r="BV59" i="2"/>
  <c r="BT59" i="2"/>
  <c r="BR59" i="2"/>
  <c r="BP59" i="2"/>
  <c r="AZ59" i="2"/>
  <c r="AX59" i="2"/>
  <c r="AV59" i="2"/>
  <c r="AR59" i="2"/>
  <c r="AP59" i="2"/>
  <c r="AN59" i="2"/>
  <c r="AI59" i="2"/>
  <c r="AC59" i="2"/>
  <c r="W59" i="2"/>
  <c r="S59" i="2"/>
  <c r="Q59" i="2"/>
  <c r="BX58" i="2"/>
  <c r="BV58" i="2"/>
  <c r="BT58" i="2"/>
  <c r="BR58" i="2"/>
  <c r="BP58" i="2"/>
  <c r="AZ58" i="2"/>
  <c r="AX58" i="2"/>
  <c r="AV58" i="2"/>
  <c r="AR58" i="2"/>
  <c r="AP58" i="2"/>
  <c r="AN58" i="2"/>
  <c r="AI58" i="2"/>
  <c r="AC58" i="2"/>
  <c r="W58" i="2"/>
  <c r="S58" i="2"/>
  <c r="Q58" i="2"/>
  <c r="BX57" i="2"/>
  <c r="BV57" i="2"/>
  <c r="BT57" i="2"/>
  <c r="BR57" i="2"/>
  <c r="BP57" i="2"/>
  <c r="AZ57" i="2"/>
  <c r="AX57" i="2"/>
  <c r="AV57" i="2"/>
  <c r="AR57" i="2"/>
  <c r="AP57" i="2"/>
  <c r="AN57" i="2"/>
  <c r="AI57" i="2"/>
  <c r="AC57" i="2"/>
  <c r="W57" i="2"/>
  <c r="S57" i="2"/>
  <c r="Q57" i="2"/>
  <c r="BX56" i="2"/>
  <c r="BV56" i="2"/>
  <c r="BT56" i="2"/>
  <c r="BR56" i="2"/>
  <c r="BP56" i="2"/>
  <c r="AZ56" i="2"/>
  <c r="AX56" i="2"/>
  <c r="AV56" i="2"/>
  <c r="AR56" i="2"/>
  <c r="AP56" i="2"/>
  <c r="AN56" i="2"/>
  <c r="AI56" i="2"/>
  <c r="AC56" i="2"/>
  <c r="W56" i="2"/>
  <c r="S56" i="2"/>
  <c r="Q56" i="2"/>
  <c r="BX55" i="2"/>
  <c r="BV55" i="2"/>
  <c r="BT55" i="2"/>
  <c r="BR55" i="2"/>
  <c r="BP55" i="2"/>
  <c r="AZ55" i="2"/>
  <c r="AX55" i="2"/>
  <c r="AV55" i="2"/>
  <c r="AR55" i="2"/>
  <c r="AP55" i="2"/>
  <c r="AN55" i="2"/>
  <c r="AI55" i="2"/>
  <c r="AC55" i="2"/>
  <c r="W55" i="2"/>
  <c r="S55" i="2"/>
  <c r="Q55" i="2"/>
  <c r="BX54" i="2"/>
  <c r="BV54" i="2"/>
  <c r="BT54" i="2"/>
  <c r="BR54" i="2"/>
  <c r="BP54" i="2"/>
  <c r="AZ54" i="2"/>
  <c r="AX54" i="2"/>
  <c r="AV54" i="2"/>
  <c r="AR54" i="2"/>
  <c r="AP54" i="2"/>
  <c r="AN54" i="2"/>
  <c r="AI54" i="2"/>
  <c r="AC54" i="2"/>
  <c r="W54" i="2"/>
  <c r="S54" i="2"/>
  <c r="Q54" i="2"/>
  <c r="BX50" i="2"/>
  <c r="BV50" i="2"/>
  <c r="BT50" i="2"/>
  <c r="BR50" i="2"/>
  <c r="BP50" i="2"/>
  <c r="AZ50" i="2"/>
  <c r="AX50" i="2"/>
  <c r="AV50" i="2"/>
  <c r="AR50" i="2"/>
  <c r="AP50" i="2"/>
  <c r="AN50" i="2"/>
  <c r="AI50" i="2"/>
  <c r="AC50" i="2"/>
  <c r="W50" i="2"/>
  <c r="S50" i="2"/>
  <c r="Q50" i="2"/>
  <c r="BX49" i="2"/>
  <c r="BV49" i="2"/>
  <c r="BT49" i="2"/>
  <c r="BR49" i="2"/>
  <c r="BP49" i="2"/>
  <c r="AZ49" i="2"/>
  <c r="AX49" i="2"/>
  <c r="AV49" i="2"/>
  <c r="AR49" i="2"/>
  <c r="AP49" i="2"/>
  <c r="AN49" i="2"/>
  <c r="AI49" i="2"/>
  <c r="AC49" i="2"/>
  <c r="W49" i="2"/>
  <c r="S49" i="2"/>
  <c r="Q49" i="2"/>
  <c r="BX53" i="2"/>
  <c r="BV53" i="2"/>
  <c r="BT53" i="2"/>
  <c r="BR53" i="2"/>
  <c r="BP53" i="2"/>
  <c r="AZ53" i="2"/>
  <c r="AX53" i="2"/>
  <c r="AV53" i="2"/>
  <c r="AR53" i="2"/>
  <c r="AP53" i="2"/>
  <c r="AN53" i="2"/>
  <c r="AI53" i="2"/>
  <c r="AC53" i="2"/>
  <c r="W53" i="2"/>
  <c r="S53" i="2"/>
  <c r="Q53" i="2"/>
  <c r="BX48" i="2"/>
  <c r="BV48" i="2"/>
  <c r="BT48" i="2"/>
  <c r="BR48" i="2"/>
  <c r="BP48" i="2"/>
  <c r="AZ48" i="2"/>
  <c r="AX48" i="2"/>
  <c r="AV48" i="2"/>
  <c r="AR48" i="2"/>
  <c r="AP48" i="2"/>
  <c r="AN48" i="2"/>
  <c r="AI48" i="2"/>
  <c r="AC48" i="2"/>
  <c r="W48" i="2"/>
  <c r="S48" i="2"/>
  <c r="Q48" i="2"/>
  <c r="BX47" i="2"/>
  <c r="BV47" i="2"/>
  <c r="BT47" i="2"/>
  <c r="BR47" i="2"/>
  <c r="BP47" i="2"/>
  <c r="AZ47" i="2"/>
  <c r="AX47" i="2"/>
  <c r="AV47" i="2"/>
  <c r="AR47" i="2"/>
  <c r="AP47" i="2"/>
  <c r="AN47" i="2"/>
  <c r="AI47" i="2"/>
  <c r="AC47" i="2"/>
  <c r="W47" i="2"/>
  <c r="S47" i="2"/>
  <c r="Q47" i="2"/>
  <c r="BX46" i="2"/>
  <c r="BV46" i="2"/>
  <c r="BT46" i="2"/>
  <c r="BR46" i="2"/>
  <c r="BP46" i="2"/>
  <c r="AZ46" i="2"/>
  <c r="AX46" i="2"/>
  <c r="AV46" i="2"/>
  <c r="AR46" i="2"/>
  <c r="AP46" i="2"/>
  <c r="AN46" i="2"/>
  <c r="AI46" i="2"/>
  <c r="AC46" i="2"/>
  <c r="W46" i="2"/>
  <c r="S46" i="2"/>
  <c r="Q46" i="2"/>
  <c r="BX45" i="2"/>
  <c r="BV45" i="2"/>
  <c r="BT45" i="2"/>
  <c r="BR45" i="2"/>
  <c r="BP45" i="2"/>
  <c r="AZ45" i="2"/>
  <c r="AX45" i="2"/>
  <c r="AV45" i="2"/>
  <c r="AR45" i="2"/>
  <c r="AP45" i="2"/>
  <c r="AN45" i="2"/>
  <c r="AI45" i="2"/>
  <c r="AC45" i="2"/>
  <c r="W45" i="2"/>
  <c r="S45" i="2"/>
  <c r="Q45" i="2"/>
  <c r="BX44" i="2"/>
  <c r="BV44" i="2"/>
  <c r="BT44" i="2"/>
  <c r="BR44" i="2"/>
  <c r="BP44" i="2"/>
  <c r="AZ44" i="2"/>
  <c r="AX44" i="2"/>
  <c r="AV44" i="2"/>
  <c r="AR44" i="2"/>
  <c r="AP44" i="2"/>
  <c r="AN44" i="2"/>
  <c r="AI44" i="2"/>
  <c r="AC44" i="2"/>
  <c r="W44" i="2"/>
  <c r="S44" i="2"/>
  <c r="Q44" i="2"/>
  <c r="BX42" i="2"/>
  <c r="BV42" i="2"/>
  <c r="BT42" i="2"/>
  <c r="BR42" i="2"/>
  <c r="BP42" i="2"/>
  <c r="AZ42" i="2"/>
  <c r="AX42" i="2"/>
  <c r="AV42" i="2"/>
  <c r="AR42" i="2"/>
  <c r="AP42" i="2"/>
  <c r="AN42" i="2"/>
  <c r="AI42" i="2"/>
  <c r="AC42" i="2"/>
  <c r="W42" i="2"/>
  <c r="S42" i="2"/>
  <c r="Q42" i="2"/>
  <c r="BX41" i="2"/>
  <c r="BV41" i="2"/>
  <c r="BT41" i="2"/>
  <c r="BR41" i="2"/>
  <c r="BP41" i="2"/>
  <c r="AZ41" i="2"/>
  <c r="AX41" i="2"/>
  <c r="AV41" i="2"/>
  <c r="AR41" i="2"/>
  <c r="AP41" i="2"/>
  <c r="AN41" i="2"/>
  <c r="AI41" i="2"/>
  <c r="AC41" i="2"/>
  <c r="W41" i="2"/>
  <c r="S41" i="2"/>
  <c r="Q41" i="2"/>
  <c r="BX40" i="2"/>
  <c r="BV40" i="2"/>
  <c r="BT40" i="2"/>
  <c r="BR40" i="2"/>
  <c r="BP40" i="2"/>
  <c r="AZ40" i="2"/>
  <c r="AX40" i="2"/>
  <c r="AV40" i="2"/>
  <c r="AR40" i="2"/>
  <c r="AP40" i="2"/>
  <c r="AN40" i="2"/>
  <c r="AI40" i="2"/>
  <c r="AC40" i="2"/>
  <c r="W40" i="2"/>
  <c r="S40" i="2"/>
  <c r="Q40" i="2"/>
  <c r="BX39" i="2"/>
  <c r="BV39" i="2"/>
  <c r="BT39" i="2"/>
  <c r="BR39" i="2"/>
  <c r="BP39" i="2"/>
  <c r="AZ39" i="2"/>
  <c r="AX39" i="2"/>
  <c r="AV39" i="2"/>
  <c r="AR39" i="2"/>
  <c r="AP39" i="2"/>
  <c r="AN39" i="2"/>
  <c r="AI39" i="2"/>
  <c r="AC39" i="2"/>
  <c r="W39" i="2"/>
  <c r="S39" i="2"/>
  <c r="Q39" i="2"/>
  <c r="BX38" i="2"/>
  <c r="BV38" i="2"/>
  <c r="BT38" i="2"/>
  <c r="BR38" i="2"/>
  <c r="BP38" i="2"/>
  <c r="AZ38" i="2"/>
  <c r="AX38" i="2"/>
  <c r="AV38" i="2"/>
  <c r="AR38" i="2"/>
  <c r="AP38" i="2"/>
  <c r="AN38" i="2"/>
  <c r="AI38" i="2"/>
  <c r="AC38" i="2"/>
  <c r="W38" i="2"/>
  <c r="S38" i="2"/>
  <c r="Q38" i="2"/>
  <c r="BX37" i="2"/>
  <c r="BV37" i="2"/>
  <c r="BT37" i="2"/>
  <c r="BR37" i="2"/>
  <c r="BP37" i="2"/>
  <c r="AZ37" i="2"/>
  <c r="AX37" i="2"/>
  <c r="AV37" i="2"/>
  <c r="AR37" i="2"/>
  <c r="AP37" i="2"/>
  <c r="AN37" i="2"/>
  <c r="AI37" i="2"/>
  <c r="AC37" i="2"/>
  <c r="W37" i="2"/>
  <c r="S37" i="2"/>
  <c r="Q37" i="2"/>
  <c r="BX36" i="2"/>
  <c r="BV36" i="2"/>
  <c r="BT36" i="2"/>
  <c r="BR36" i="2"/>
  <c r="BP36" i="2"/>
  <c r="AZ36" i="2"/>
  <c r="AX36" i="2"/>
  <c r="AV36" i="2"/>
  <c r="AR36" i="2"/>
  <c r="AP36" i="2"/>
  <c r="AN36" i="2"/>
  <c r="AI36" i="2"/>
  <c r="AC36" i="2"/>
  <c r="W36" i="2"/>
  <c r="S36" i="2"/>
  <c r="Q36" i="2"/>
  <c r="BX35" i="2"/>
  <c r="BV35" i="2"/>
  <c r="BT35" i="2"/>
  <c r="BR35" i="2"/>
  <c r="BP35" i="2"/>
  <c r="AZ35" i="2"/>
  <c r="AX35" i="2"/>
  <c r="AV35" i="2"/>
  <c r="AR35" i="2"/>
  <c r="AP35" i="2"/>
  <c r="AN35" i="2"/>
  <c r="AI35" i="2"/>
  <c r="AC35" i="2"/>
  <c r="W35" i="2"/>
  <c r="S35" i="2"/>
  <c r="Q35" i="2"/>
  <c r="BX32" i="2"/>
  <c r="BV32" i="2"/>
  <c r="BT32" i="2"/>
  <c r="BR32" i="2"/>
  <c r="BP32" i="2"/>
  <c r="AZ32" i="2"/>
  <c r="AX32" i="2"/>
  <c r="AV32" i="2"/>
  <c r="AR32" i="2"/>
  <c r="AP32" i="2"/>
  <c r="AN32" i="2"/>
  <c r="AI32" i="2"/>
  <c r="AC32" i="2"/>
  <c r="W32" i="2"/>
  <c r="S32" i="2"/>
  <c r="Q32" i="2"/>
  <c r="BX31" i="2"/>
  <c r="BV31" i="2"/>
  <c r="BT31" i="2"/>
  <c r="BR31" i="2"/>
  <c r="BP31" i="2"/>
  <c r="AZ31" i="2"/>
  <c r="AX31" i="2"/>
  <c r="AV31" i="2"/>
  <c r="AR31" i="2"/>
  <c r="AP31" i="2"/>
  <c r="AN31" i="2"/>
  <c r="AI31" i="2"/>
  <c r="AC31" i="2"/>
  <c r="W31" i="2"/>
  <c r="S31" i="2"/>
  <c r="Q31" i="2"/>
  <c r="BX30" i="2"/>
  <c r="BV30" i="2"/>
  <c r="BT30" i="2"/>
  <c r="BR30" i="2"/>
  <c r="BP30" i="2"/>
  <c r="AZ30" i="2"/>
  <c r="AX30" i="2"/>
  <c r="AV30" i="2"/>
  <c r="AR30" i="2"/>
  <c r="AP30" i="2"/>
  <c r="AN30" i="2"/>
  <c r="AI30" i="2"/>
  <c r="AC30" i="2"/>
  <c r="W30" i="2"/>
  <c r="S30" i="2"/>
  <c r="Q30" i="2"/>
  <c r="BX29" i="2"/>
  <c r="BV29" i="2"/>
  <c r="BT29" i="2"/>
  <c r="BR29" i="2"/>
  <c r="BP29" i="2"/>
  <c r="AZ29" i="2"/>
  <c r="AX29" i="2"/>
  <c r="AV29" i="2"/>
  <c r="AR29" i="2"/>
  <c r="AP29" i="2"/>
  <c r="AN29" i="2"/>
  <c r="AI29" i="2"/>
  <c r="AC29" i="2"/>
  <c r="W29" i="2"/>
  <c r="S29" i="2"/>
  <c r="Q29" i="2"/>
  <c r="BX28" i="2"/>
  <c r="BV28" i="2"/>
  <c r="BT28" i="2"/>
  <c r="BR28" i="2"/>
  <c r="BP28" i="2"/>
  <c r="AZ28" i="2"/>
  <c r="AX28" i="2"/>
  <c r="AV28" i="2"/>
  <c r="AR28" i="2"/>
  <c r="AP28" i="2"/>
  <c r="AN28" i="2"/>
  <c r="AI28" i="2"/>
  <c r="AC28" i="2"/>
  <c r="W28" i="2"/>
  <c r="S28" i="2"/>
  <c r="Q28" i="2"/>
  <c r="BX27" i="2"/>
  <c r="BV27" i="2"/>
  <c r="BT27" i="2"/>
  <c r="BR27" i="2"/>
  <c r="BP27" i="2"/>
  <c r="AZ27" i="2"/>
  <c r="AX27" i="2"/>
  <c r="AV27" i="2"/>
  <c r="AR27" i="2"/>
  <c r="AP27" i="2"/>
  <c r="AN27" i="2"/>
  <c r="AI27" i="2"/>
  <c r="AC27" i="2"/>
  <c r="W27" i="2"/>
  <c r="S27" i="2"/>
  <c r="Q27" i="2"/>
  <c r="BX26" i="2"/>
  <c r="BV26" i="2"/>
  <c r="BT26" i="2"/>
  <c r="BR26" i="2"/>
  <c r="BP26" i="2"/>
  <c r="AZ26" i="2"/>
  <c r="AX26" i="2"/>
  <c r="AV26" i="2"/>
  <c r="AR26" i="2"/>
  <c r="AP26" i="2"/>
  <c r="AN26" i="2"/>
  <c r="AI26" i="2"/>
  <c r="AC26" i="2"/>
  <c r="W26" i="2"/>
  <c r="S26" i="2"/>
  <c r="Q26" i="2"/>
  <c r="BX25" i="2"/>
  <c r="BV25" i="2"/>
  <c r="BT25" i="2"/>
  <c r="BR25" i="2"/>
  <c r="BP25" i="2"/>
  <c r="AZ25" i="2"/>
  <c r="AX25" i="2"/>
  <c r="AV25" i="2"/>
  <c r="AR25" i="2"/>
  <c r="AP25" i="2"/>
  <c r="AN25" i="2"/>
  <c r="AI25" i="2"/>
  <c r="AC25" i="2"/>
  <c r="W25" i="2"/>
  <c r="S25" i="2"/>
  <c r="Q25" i="2"/>
  <c r="BX24" i="2"/>
  <c r="BV24" i="2"/>
  <c r="BT24" i="2"/>
  <c r="BR24" i="2"/>
  <c r="BP24" i="2"/>
  <c r="AZ24" i="2"/>
  <c r="AX24" i="2"/>
  <c r="AV24" i="2"/>
  <c r="AR24" i="2"/>
  <c r="AP24" i="2"/>
  <c r="AN24" i="2"/>
  <c r="AI24" i="2"/>
  <c r="AC24" i="2"/>
  <c r="W24" i="2"/>
  <c r="S24" i="2"/>
  <c r="Q24" i="2"/>
  <c r="BX23" i="2"/>
  <c r="BV23" i="2"/>
  <c r="BT23" i="2"/>
  <c r="BR23" i="2"/>
  <c r="BP23" i="2"/>
  <c r="AZ23" i="2"/>
  <c r="AX23" i="2"/>
  <c r="AV23" i="2"/>
  <c r="AR23" i="2"/>
  <c r="AP23" i="2"/>
  <c r="AN23" i="2"/>
  <c r="AI23" i="2"/>
  <c r="AC23" i="2"/>
  <c r="W23" i="2"/>
  <c r="S23" i="2"/>
  <c r="Q23" i="2"/>
  <c r="BX22" i="2"/>
  <c r="BV22" i="2"/>
  <c r="BT22" i="2"/>
  <c r="BR22" i="2"/>
  <c r="BP22" i="2"/>
  <c r="AZ22" i="2"/>
  <c r="AX22" i="2"/>
  <c r="AV22" i="2"/>
  <c r="AR22" i="2"/>
  <c r="AP22" i="2"/>
  <c r="AN22" i="2"/>
  <c r="AI22" i="2"/>
  <c r="AC22" i="2"/>
  <c r="W22" i="2"/>
  <c r="S22" i="2"/>
  <c r="Q22" i="2"/>
  <c r="BX21" i="2"/>
  <c r="BV21" i="2"/>
  <c r="BT21" i="2"/>
  <c r="BR21" i="2"/>
  <c r="BP21" i="2"/>
  <c r="AZ21" i="2"/>
  <c r="AX21" i="2"/>
  <c r="AV21" i="2"/>
  <c r="AR21" i="2"/>
  <c r="AP21" i="2"/>
  <c r="AN21" i="2"/>
  <c r="AI21" i="2"/>
  <c r="AC21" i="2"/>
  <c r="W21" i="2"/>
  <c r="S21" i="2"/>
  <c r="Q21" i="2"/>
  <c r="BX20" i="2"/>
  <c r="BV20" i="2"/>
  <c r="BT20" i="2"/>
  <c r="BR20" i="2"/>
  <c r="BP20" i="2"/>
  <c r="AZ20" i="2"/>
  <c r="AX20" i="2"/>
  <c r="AV20" i="2"/>
  <c r="AR20" i="2"/>
  <c r="AP20" i="2"/>
  <c r="AN20" i="2"/>
  <c r="AI20" i="2"/>
  <c r="AC20" i="2"/>
  <c r="W20" i="2"/>
  <c r="S20" i="2"/>
  <c r="Q20" i="2"/>
  <c r="BX15" i="2"/>
  <c r="BV15" i="2"/>
  <c r="BT15" i="2"/>
  <c r="BR15" i="2"/>
  <c r="BP15" i="2"/>
  <c r="AZ15" i="2"/>
  <c r="AX15" i="2"/>
  <c r="AV15" i="2"/>
  <c r="AR15" i="2"/>
  <c r="AP15" i="2"/>
  <c r="AN15" i="2"/>
  <c r="AI15" i="2"/>
  <c r="AC15" i="2"/>
  <c r="W15" i="2"/>
  <c r="S15" i="2"/>
  <c r="Q15" i="2"/>
  <c r="BX14" i="2"/>
  <c r="BV14" i="2"/>
  <c r="BT14" i="2"/>
  <c r="BR14" i="2"/>
  <c r="BP14" i="2"/>
  <c r="AZ14" i="2"/>
  <c r="AX14" i="2"/>
  <c r="AV14" i="2"/>
  <c r="AR14" i="2"/>
  <c r="AP14" i="2"/>
  <c r="AN14" i="2"/>
  <c r="AI14" i="2"/>
  <c r="AC14" i="2"/>
  <c r="W14" i="2"/>
  <c r="S14" i="2"/>
  <c r="Q14" i="2"/>
  <c r="BX13" i="2"/>
  <c r="BV13" i="2"/>
  <c r="BT13" i="2"/>
  <c r="BR13" i="2"/>
  <c r="BP13" i="2"/>
  <c r="AZ13" i="2"/>
  <c r="AX13" i="2"/>
  <c r="AV13" i="2"/>
  <c r="AR13" i="2"/>
  <c r="AP13" i="2"/>
  <c r="AN13" i="2"/>
  <c r="AI13" i="2"/>
  <c r="AC13" i="2"/>
  <c r="W13" i="2"/>
  <c r="S13" i="2"/>
  <c r="Q13" i="2"/>
  <c r="BX12" i="2"/>
  <c r="BV12" i="2"/>
  <c r="BT12" i="2"/>
  <c r="BR12" i="2"/>
  <c r="BP12" i="2"/>
  <c r="AZ12" i="2"/>
  <c r="AX12" i="2"/>
  <c r="AV12" i="2"/>
  <c r="AR12" i="2"/>
  <c r="AP12" i="2"/>
  <c r="AN12" i="2"/>
  <c r="AI12" i="2"/>
  <c r="AC12" i="2"/>
  <c r="W12" i="2"/>
  <c r="S12" i="2"/>
  <c r="Q12" i="2"/>
  <c r="BX11" i="2"/>
  <c r="BV11" i="2"/>
  <c r="BT11" i="2"/>
  <c r="BR11" i="2"/>
  <c r="BP11" i="2"/>
  <c r="AZ11" i="2"/>
  <c r="AX11" i="2"/>
  <c r="AV11" i="2"/>
  <c r="AR11" i="2"/>
  <c r="AP11" i="2"/>
  <c r="AN11" i="2"/>
  <c r="AI11" i="2"/>
  <c r="AC11" i="2"/>
  <c r="W11" i="2"/>
  <c r="S11" i="2"/>
  <c r="Q11" i="2"/>
  <c r="BX10" i="2"/>
  <c r="BV10" i="2"/>
  <c r="BT10" i="2"/>
  <c r="BR10" i="2"/>
  <c r="BP10" i="2"/>
  <c r="AZ10" i="2"/>
  <c r="AX10" i="2"/>
  <c r="AV10" i="2"/>
  <c r="AR10" i="2"/>
  <c r="AP10" i="2"/>
  <c r="AN10" i="2"/>
  <c r="AI10" i="2"/>
  <c r="AC10" i="2"/>
  <c r="W10" i="2"/>
  <c r="S10" i="2"/>
  <c r="Q10" i="2"/>
  <c r="BX9" i="2"/>
  <c r="BV9" i="2"/>
  <c r="BT9" i="2"/>
  <c r="BR9" i="2"/>
  <c r="BP9" i="2"/>
  <c r="AZ9" i="2"/>
  <c r="AX9" i="2"/>
  <c r="AV9" i="2"/>
  <c r="AR9" i="2"/>
  <c r="AP9" i="2"/>
  <c r="AN9" i="2"/>
  <c r="AI9" i="2"/>
  <c r="AC9" i="2"/>
  <c r="W9" i="2"/>
  <c r="S9" i="2"/>
  <c r="Q9" i="2"/>
  <c r="BX8" i="2"/>
  <c r="BV8" i="2"/>
  <c r="BT8" i="2"/>
  <c r="BR8" i="2"/>
  <c r="BP8" i="2"/>
  <c r="AZ8" i="2"/>
  <c r="AX8" i="2"/>
  <c r="AV8" i="2"/>
  <c r="AR8" i="2"/>
  <c r="AP8" i="2"/>
  <c r="AN8" i="2"/>
  <c r="AI8" i="2"/>
  <c r="AC8" i="2"/>
  <c r="W8" i="2"/>
  <c r="S8" i="2"/>
  <c r="Q8" i="2"/>
  <c r="BX7" i="2"/>
  <c r="BV7" i="2"/>
  <c r="BT7" i="2"/>
  <c r="BR7" i="2"/>
  <c r="BP7" i="2"/>
  <c r="AZ7" i="2"/>
  <c r="AX7" i="2"/>
  <c r="AV7" i="2"/>
  <c r="AR7" i="2"/>
  <c r="AP7" i="2"/>
  <c r="AN7" i="2"/>
  <c r="AI7" i="2"/>
  <c r="AC7" i="2"/>
  <c r="W7" i="2"/>
  <c r="S7" i="2"/>
  <c r="Q7" i="2"/>
  <c r="BX6" i="2"/>
  <c r="BV6" i="2"/>
  <c r="BT6" i="2"/>
  <c r="BR6" i="2"/>
  <c r="BP6" i="2"/>
  <c r="AZ6" i="2"/>
  <c r="AX6" i="2"/>
  <c r="AV6" i="2"/>
  <c r="AR6" i="2"/>
  <c r="AP6" i="2"/>
  <c r="AN6" i="2"/>
  <c r="AI6" i="2"/>
  <c r="AC6" i="2"/>
  <c r="W6" i="2"/>
  <c r="S6" i="2"/>
  <c r="Q6" i="2"/>
  <c r="BX5" i="2"/>
  <c r="BV5" i="2"/>
  <c r="BT5" i="2"/>
  <c r="BR5" i="2"/>
  <c r="BP5" i="2"/>
  <c r="AZ5" i="2"/>
  <c r="AX5" i="2"/>
  <c r="AV5" i="2"/>
  <c r="AR5" i="2"/>
  <c r="AP5" i="2"/>
  <c r="AN5" i="2"/>
  <c r="AI5" i="2"/>
  <c r="AC5" i="2"/>
  <c r="W5" i="2"/>
  <c r="S5" i="2"/>
  <c r="Q5" i="2"/>
  <c r="BX4" i="2"/>
  <c r="BV4" i="2"/>
  <c r="BT4" i="2"/>
  <c r="BR4" i="2"/>
  <c r="BP4" i="2"/>
  <c r="AZ4" i="2"/>
  <c r="AX4" i="2"/>
  <c r="AV4" i="2"/>
  <c r="AR4" i="2"/>
  <c r="AP4" i="2"/>
  <c r="AN4" i="2"/>
  <c r="AI4" i="2"/>
  <c r="AC4" i="2"/>
  <c r="W4" i="2"/>
  <c r="S4" i="2"/>
  <c r="Q4" i="2"/>
  <c r="BX3" i="2"/>
  <c r="BV3" i="2"/>
  <c r="BT3" i="2"/>
  <c r="BR3" i="2"/>
  <c r="BP3" i="2"/>
  <c r="AZ3" i="2"/>
  <c r="AX3" i="2"/>
  <c r="AV3" i="2"/>
  <c r="AP3" i="2"/>
  <c r="AN3" i="2"/>
  <c r="AI3" i="2"/>
  <c r="AC3" i="2"/>
  <c r="W3" i="2"/>
  <c r="S3" i="2"/>
  <c r="Q3" i="2"/>
  <c r="BZ18" i="2" l="1"/>
  <c r="BF43" i="2"/>
  <c r="BF17" i="2"/>
  <c r="BO52" i="2"/>
  <c r="BO51" i="2"/>
  <c r="BZ43" i="2"/>
  <c r="BZ17" i="2"/>
  <c r="BZ33" i="2"/>
  <c r="AK18" i="2"/>
  <c r="BF18" i="2"/>
  <c r="BO35" i="2"/>
  <c r="BO69" i="2"/>
  <c r="BO50" i="2"/>
  <c r="BO42" i="2"/>
  <c r="BO34" i="2"/>
  <c r="BO72" i="2"/>
  <c r="BZ74" i="2"/>
  <c r="BZ16" i="2"/>
  <c r="BZ19" i="2"/>
  <c r="BZ52" i="2"/>
  <c r="BZ51" i="2"/>
  <c r="BZ73" i="2"/>
  <c r="AK73" i="2"/>
  <c r="BO13" i="2"/>
  <c r="BO27" i="2"/>
  <c r="BO7" i="2"/>
  <c r="BO19" i="2"/>
  <c r="BO74" i="2"/>
  <c r="BO16" i="2"/>
  <c r="BZ34" i="2"/>
  <c r="BZ72" i="2"/>
  <c r="BO71" i="2"/>
  <c r="BO63" i="2"/>
  <c r="BO55" i="2"/>
  <c r="BO45" i="2"/>
  <c r="BO36" i="2"/>
  <c r="BO26" i="2"/>
  <c r="BO14" i="2"/>
  <c r="BO60" i="2"/>
  <c r="BO11" i="2"/>
  <c r="BO53" i="2"/>
  <c r="BO54" i="2"/>
  <c r="BO59" i="2"/>
  <c r="BO30" i="2"/>
  <c r="BO24" i="2"/>
  <c r="BO12" i="2"/>
  <c r="BO58" i="2"/>
  <c r="BO39" i="2"/>
  <c r="BO29" i="2"/>
  <c r="BO21" i="2"/>
  <c r="BO67" i="2"/>
  <c r="BO40" i="2"/>
  <c r="BO10" i="2"/>
  <c r="BF74" i="2"/>
  <c r="BF16" i="2"/>
  <c r="AK43" i="2"/>
  <c r="CA43" i="2" s="1"/>
  <c r="AK16" i="2"/>
  <c r="AK74" i="2"/>
  <c r="AK52" i="2"/>
  <c r="AK51" i="2"/>
  <c r="BF52" i="2"/>
  <c r="BF51" i="2"/>
  <c r="AK34" i="2"/>
  <c r="AK72" i="2"/>
  <c r="BF34" i="2"/>
  <c r="BF72" i="2"/>
  <c r="AK33" i="2"/>
  <c r="BF33" i="2"/>
  <c r="AK19" i="2"/>
  <c r="BF19" i="2"/>
  <c r="AK2" i="2"/>
  <c r="BO32" i="2"/>
  <c r="BZ2" i="2"/>
  <c r="BO25" i="2"/>
  <c r="BO2" i="2"/>
  <c r="BO56" i="2"/>
  <c r="BO46" i="2"/>
  <c r="BO37" i="2"/>
  <c r="BO15" i="2"/>
  <c r="BO62" i="2"/>
  <c r="BO23" i="2"/>
  <c r="BO49" i="2"/>
  <c r="BO47" i="2"/>
  <c r="BO70" i="2"/>
  <c r="BO44" i="2"/>
  <c r="BO41" i="2"/>
  <c r="BO61" i="2"/>
  <c r="BO8" i="2"/>
  <c r="BF2" i="2"/>
  <c r="BO68" i="2"/>
  <c r="BO31" i="2"/>
  <c r="BO65" i="2"/>
  <c r="BO57" i="2"/>
  <c r="BO28" i="2"/>
  <c r="BO48" i="2"/>
  <c r="BO38" i="2"/>
  <c r="BO20" i="2"/>
  <c r="BO22" i="2"/>
  <c r="BO66" i="2"/>
  <c r="BO9" i="2"/>
  <c r="BO64" i="2"/>
  <c r="BO6" i="2"/>
  <c r="BZ57" i="2"/>
  <c r="AK59" i="2"/>
  <c r="BZ61" i="2"/>
  <c r="AK41" i="2"/>
  <c r="BF8" i="2"/>
  <c r="AK9" i="2"/>
  <c r="BF9" i="2"/>
  <c r="BF59" i="2"/>
  <c r="BZ14" i="2"/>
  <c r="BZ69" i="2"/>
  <c r="BZ11" i="2"/>
  <c r="BZ36" i="2"/>
  <c r="BZ50" i="2"/>
  <c r="BZ27" i="2"/>
  <c r="BZ31" i="2"/>
  <c r="BF68" i="2"/>
  <c r="BZ70" i="2"/>
  <c r="BZ46" i="2"/>
  <c r="BZ49" i="2"/>
  <c r="AK4" i="2"/>
  <c r="AK23" i="2"/>
  <c r="BZ71" i="2"/>
  <c r="BF3" i="2"/>
  <c r="BZ7" i="2"/>
  <c r="AK10" i="2"/>
  <c r="BO5" i="2"/>
  <c r="BF6" i="2"/>
  <c r="BZ9" i="2"/>
  <c r="BZ12" i="2"/>
  <c r="BF20" i="2"/>
  <c r="BF21" i="2"/>
  <c r="BF27" i="2"/>
  <c r="BF38" i="2"/>
  <c r="AK39" i="2"/>
  <c r="BZ65" i="2"/>
  <c r="AK67" i="2"/>
  <c r="BZ21" i="2"/>
  <c r="BF25" i="2"/>
  <c r="BF29" i="2"/>
  <c r="AK60" i="2"/>
  <c r="BZ6" i="2"/>
  <c r="BF14" i="2"/>
  <c r="AK38" i="2"/>
  <c r="BZ42" i="2"/>
  <c r="BF44" i="2"/>
  <c r="BF45" i="2"/>
  <c r="BF47" i="2"/>
  <c r="BF48" i="2"/>
  <c r="BZ54" i="2"/>
  <c r="AK62" i="2"/>
  <c r="AK63" i="2"/>
  <c r="AK69" i="2"/>
  <c r="BF7" i="2"/>
  <c r="AK21" i="2"/>
  <c r="AK22" i="2"/>
  <c r="BZ23" i="2"/>
  <c r="BZ26" i="2"/>
  <c r="AK28" i="2"/>
  <c r="BZ29" i="2"/>
  <c r="BZ32" i="2"/>
  <c r="BF35" i="2"/>
  <c r="BF36" i="2"/>
  <c r="BF39" i="2"/>
  <c r="BZ41" i="2"/>
  <c r="BZ45" i="2"/>
  <c r="BF46" i="2"/>
  <c r="AK47" i="2"/>
  <c r="BZ48" i="2"/>
  <c r="BZ56" i="2"/>
  <c r="BF67" i="2"/>
  <c r="AK3" i="2"/>
  <c r="BO4" i="2"/>
  <c r="BF5" i="2"/>
  <c r="AK8" i="2"/>
  <c r="BZ13" i="2"/>
  <c r="AK15" i="2"/>
  <c r="BF24" i="2"/>
  <c r="BF31" i="2"/>
  <c r="BZ35" i="2"/>
  <c r="AK37" i="2"/>
  <c r="BZ40" i="2"/>
  <c r="BF42" i="2"/>
  <c r="BF49" i="2"/>
  <c r="BF54" i="2"/>
  <c r="BF55" i="2"/>
  <c r="BF57" i="2"/>
  <c r="AK58" i="2"/>
  <c r="BF58" i="2"/>
  <c r="BZ59" i="2"/>
  <c r="BZ60" i="2"/>
  <c r="BZ62" i="2"/>
  <c r="AK68" i="2"/>
  <c r="AK70" i="2"/>
  <c r="BZ4" i="2"/>
  <c r="AK6" i="2"/>
  <c r="BF11" i="2"/>
  <c r="AK12" i="2"/>
  <c r="BZ20" i="2"/>
  <c r="BF22" i="2"/>
  <c r="AK25" i="2"/>
  <c r="AK26" i="2"/>
  <c r="AK32" i="2"/>
  <c r="BZ38" i="2"/>
  <c r="AK40" i="2"/>
  <c r="BF40" i="2"/>
  <c r="AK44" i="2"/>
  <c r="AK45" i="2"/>
  <c r="AK50" i="2"/>
  <c r="AK56" i="2"/>
  <c r="BF61" i="2"/>
  <c r="BZ63" i="2"/>
  <c r="BF64" i="2"/>
  <c r="AK65" i="2"/>
  <c r="BZ66" i="2"/>
  <c r="AK71" i="2"/>
  <c r="BF70" i="2"/>
  <c r="BF71" i="2"/>
  <c r="BZ30" i="2"/>
  <c r="BF32" i="2"/>
  <c r="BF41" i="2"/>
  <c r="BZ44" i="2"/>
  <c r="AK46" i="2"/>
  <c r="BZ53" i="2"/>
  <c r="BF50" i="2"/>
  <c r="BZ55" i="2"/>
  <c r="BF56" i="2"/>
  <c r="AK57" i="2"/>
  <c r="BZ58" i="2"/>
  <c r="BZ64" i="2"/>
  <c r="BF15" i="2"/>
  <c r="BZ24" i="2"/>
  <c r="BF26" i="2"/>
  <c r="BF28" i="2"/>
  <c r="AK29" i="2"/>
  <c r="BF37" i="2"/>
  <c r="BZ39" i="2"/>
  <c r="AK48" i="2"/>
  <c r="BZ22" i="2"/>
  <c r="AK24" i="2"/>
  <c r="BZ28" i="2"/>
  <c r="AK30" i="2"/>
  <c r="BF30" i="2"/>
  <c r="AK35" i="2"/>
  <c r="AK36" i="2"/>
  <c r="AK42" i="2"/>
  <c r="BZ47" i="2"/>
  <c r="AK53" i="2"/>
  <c r="BF53" i="2"/>
  <c r="BF60" i="2"/>
  <c r="BF62" i="2"/>
  <c r="BF65" i="2"/>
  <c r="BF66" i="2"/>
  <c r="BZ67" i="2"/>
  <c r="BZ68" i="2"/>
  <c r="BZ5" i="2"/>
  <c r="AK7" i="2"/>
  <c r="BZ10" i="2"/>
  <c r="BF12" i="2"/>
  <c r="AK20" i="2"/>
  <c r="BF23" i="2"/>
  <c r="BZ25" i="2"/>
  <c r="AK27" i="2"/>
  <c r="BO3" i="2"/>
  <c r="BF4" i="2"/>
  <c r="BZ8" i="2"/>
  <c r="BF10" i="2"/>
  <c r="AK13" i="2"/>
  <c r="BF13" i="2"/>
  <c r="AK14" i="2"/>
  <c r="BF63" i="2"/>
  <c r="AK66" i="2"/>
  <c r="BZ3" i="2"/>
  <c r="AK5" i="2"/>
  <c r="AK11" i="2"/>
  <c r="BZ15" i="2"/>
  <c r="AK31" i="2"/>
  <c r="BZ37" i="2"/>
  <c r="AK49" i="2"/>
  <c r="AK54" i="2"/>
  <c r="AK55" i="2"/>
  <c r="AK61" i="2"/>
  <c r="AK64" i="2"/>
  <c r="BF69" i="2"/>
  <c r="CA52" i="2" l="1"/>
  <c r="CA74" i="2"/>
  <c r="CA34" i="2"/>
  <c r="CA73" i="2"/>
  <c r="CA18" i="2"/>
  <c r="CA16" i="2"/>
  <c r="CA72" i="2"/>
  <c r="CA19" i="2"/>
  <c r="CA17" i="2"/>
  <c r="CA51" i="2"/>
  <c r="CA33" i="2"/>
  <c r="CA2" i="2"/>
  <c r="CA38" i="2"/>
  <c r="CA37" i="2"/>
  <c r="CA59" i="2"/>
  <c r="CA8" i="2"/>
  <c r="CA50" i="2"/>
  <c r="CA49" i="2"/>
  <c r="CA58" i="2"/>
  <c r="CA13" i="2"/>
  <c r="CA57" i="2"/>
  <c r="CA63" i="2"/>
  <c r="CA22" i="2"/>
  <c r="CA68" i="2"/>
  <c r="CA64" i="2"/>
  <c r="CA6" i="2"/>
  <c r="CA7" i="2"/>
  <c r="CA71" i="2"/>
  <c r="CA27" i="2"/>
  <c r="CA46" i="2"/>
  <c r="CA70" i="2"/>
  <c r="CA25" i="2"/>
  <c r="CA31" i="2"/>
  <c r="CA66" i="2"/>
  <c r="CA5" i="2"/>
  <c r="CA47" i="2"/>
  <c r="CA9" i="2"/>
  <c r="CA14" i="2"/>
  <c r="CA15" i="2"/>
  <c r="CA44" i="2"/>
  <c r="CA26" i="2"/>
  <c r="CA62" i="2"/>
  <c r="CA11" i="2"/>
  <c r="CA4" i="2"/>
  <c r="CA23" i="2"/>
  <c r="CA48" i="2"/>
  <c r="CA45" i="2"/>
  <c r="CA54" i="2"/>
  <c r="CA10" i="2"/>
  <c r="CA60" i="2"/>
  <c r="CA29" i="2"/>
  <c r="CA35" i="2"/>
  <c r="CA69" i="2"/>
  <c r="CA20" i="2"/>
  <c r="CA55" i="2"/>
  <c r="CA3" i="2"/>
  <c r="CA28" i="2"/>
  <c r="CA61" i="2"/>
  <c r="CA67" i="2"/>
  <c r="CA36" i="2"/>
  <c r="CA24" i="2"/>
  <c r="CA32" i="2"/>
  <c r="CA42" i="2"/>
  <c r="CA12" i="2"/>
  <c r="CA65" i="2"/>
  <c r="CA30" i="2"/>
  <c r="CA56" i="2"/>
  <c r="CA53" i="2"/>
  <c r="CA40" i="2"/>
  <c r="CA41" i="2"/>
  <c r="CA39" i="2"/>
  <c r="CA21" i="2"/>
</calcChain>
</file>

<file path=xl/sharedStrings.xml><?xml version="1.0" encoding="utf-8"?>
<sst xmlns="http://schemas.openxmlformats.org/spreadsheetml/2006/main" count="2614" uniqueCount="251">
  <si>
    <t>ip_address</t>
  </si>
  <si>
    <t>gender</t>
  </si>
  <si>
    <t>age</t>
  </si>
  <si>
    <t>dialect</t>
  </si>
  <si>
    <t>guanhua_details</t>
  </si>
  <si>
    <t>wuyu_details</t>
  </si>
  <si>
    <t>other_details</t>
  </si>
  <si>
    <t>number of tones</t>
  </si>
  <si>
    <t>usage_frequency</t>
  </si>
  <si>
    <t>fluency</t>
  </si>
  <si>
    <t>foreign_language</t>
  </si>
  <si>
    <t>music_training</t>
  </si>
  <si>
    <t>music_freq</t>
  </si>
  <si>
    <t>absolute_pitch</t>
  </si>
  <si>
    <t>q1 不同</t>
  </si>
  <si>
    <t>q2 相同</t>
  </si>
  <si>
    <t>q3 相同</t>
  </si>
  <si>
    <t>q4 不同</t>
  </si>
  <si>
    <t>q5 不同</t>
  </si>
  <si>
    <t>q6 相同</t>
  </si>
  <si>
    <t>q7 不同</t>
  </si>
  <si>
    <t>q8 相同</t>
  </si>
  <si>
    <t>q9 不同</t>
  </si>
  <si>
    <t>q10 相同</t>
  </si>
  <si>
    <t>Total_Pitch perception</t>
  </si>
  <si>
    <t>q11 相同</t>
  </si>
  <si>
    <t>q12 不同</t>
  </si>
  <si>
    <t>q13 不同</t>
  </si>
  <si>
    <t>q14 不同</t>
  </si>
  <si>
    <t>q15 相同</t>
  </si>
  <si>
    <t>q16 不同</t>
  </si>
  <si>
    <t>q17 相同</t>
  </si>
  <si>
    <t>q18 相同</t>
  </si>
  <si>
    <t>q19 不同</t>
  </si>
  <si>
    <t>q20 相同</t>
  </si>
  <si>
    <t>Total_Rhythm perception</t>
  </si>
  <si>
    <t>cadence_2阻碍终止</t>
  </si>
  <si>
    <t>cadence_3完全终止</t>
  </si>
  <si>
    <t>cadence_4变格终止</t>
  </si>
  <si>
    <t>Total_Cadence learning</t>
  </si>
  <si>
    <t>style_1 Drill</t>
  </si>
  <si>
    <t>style_2 Reggaetton</t>
  </si>
  <si>
    <t>style_3 R&amp;B</t>
  </si>
  <si>
    <t>style_4 Drum &amp; Bass</t>
  </si>
  <si>
    <t>style_5 Trap</t>
  </si>
  <si>
    <t>Total_Style learning</t>
  </si>
  <si>
    <t>2409:891f:a960:8631:c395:6afc:99c0:a65b</t>
  </si>
  <si>
    <t>其他</t>
  </si>
  <si>
    <t>18岁以下</t>
  </si>
  <si>
    <t>官话</t>
  </si>
  <si>
    <t>山东</t>
  </si>
  <si>
    <t>不同</t>
  </si>
  <si>
    <t>相同</t>
  </si>
  <si>
    <t>导音终止</t>
  </si>
  <si>
    <t>阻碍终止</t>
  </si>
  <si>
    <t>完全终止</t>
  </si>
  <si>
    <t>变格终止</t>
  </si>
  <si>
    <t>Trap</t>
  </si>
  <si>
    <t>Reggaetton</t>
  </si>
  <si>
    <t>R&amp;B</t>
  </si>
  <si>
    <t>Drill</t>
  </si>
  <si>
    <t>Drum &amp; Bass</t>
  </si>
  <si>
    <t>240e:38b:8d81:7300:b1aa:e67b:20d9:c020</t>
  </si>
  <si>
    <t>女</t>
  </si>
  <si>
    <t>普通话</t>
  </si>
  <si>
    <t>35.212.175.66</t>
  </si>
  <si>
    <t>240e:b8f:9615:400:c54b:94d3:33d2:5610</t>
  </si>
  <si>
    <t>男</t>
  </si>
  <si>
    <t>41~50</t>
  </si>
  <si>
    <t>东北</t>
  </si>
  <si>
    <t>223.85.250.62</t>
  </si>
  <si>
    <t>31~40</t>
  </si>
  <si>
    <t>四川方言</t>
  </si>
  <si>
    <t>39.144.38.214</t>
  </si>
  <si>
    <t>四川</t>
  </si>
  <si>
    <t>128.148.206.43(国外-美国)</t>
  </si>
  <si>
    <t>18~25</t>
  </si>
  <si>
    <t>南京话</t>
  </si>
  <si>
    <t>171.241.38.244(国外-越南)</t>
  </si>
  <si>
    <t>26~30</t>
  </si>
  <si>
    <t>安徽省全椒县</t>
  </si>
  <si>
    <t>35.2.153.9(国外-美国)</t>
  </si>
  <si>
    <t>114.93.208.170(上海-上海)</t>
  </si>
  <si>
    <t>113.89.70.107(广东-深圳)</t>
  </si>
  <si>
    <t>1.152.30.140</t>
  </si>
  <si>
    <t>河北方言</t>
  </si>
  <si>
    <t>203.175.14.45</t>
  </si>
  <si>
    <t>河南话</t>
  </si>
  <si>
    <t>240e:45a:690:d84a:e8c8:d3ff:fe92:3c92</t>
  </si>
  <si>
    <t>湘</t>
  </si>
  <si>
    <t>124.79.223.64</t>
  </si>
  <si>
    <t>240e:3b4:38e3:cfd0:99de:a947:c0eb:1c22</t>
  </si>
  <si>
    <t>202.82.227.186</t>
  </si>
  <si>
    <t>闽南</t>
  </si>
  <si>
    <t>118.210.2.134</t>
  </si>
  <si>
    <t>晋方言</t>
  </si>
  <si>
    <t>107.182.186.147</t>
  </si>
  <si>
    <t>吴语</t>
  </si>
  <si>
    <t>上海话</t>
  </si>
  <si>
    <t>103.170.72.240</t>
  </si>
  <si>
    <t>58.33.243.14</t>
  </si>
  <si>
    <t>149.43.222.12</t>
  </si>
  <si>
    <t>210.13.119.10</t>
  </si>
  <si>
    <t>上海话，无锡话</t>
  </si>
  <si>
    <t>107.172.242.67</t>
  </si>
  <si>
    <t>2600:4040:5216:f200:1ccf:dbd1:77df:91c4</t>
  </si>
  <si>
    <t>2408:840d:1300:366d:e84d:3cff:fe53:6e16</t>
  </si>
  <si>
    <t>宜兴话</t>
  </si>
  <si>
    <t>116.227.76.19</t>
  </si>
  <si>
    <t>51~60</t>
  </si>
  <si>
    <t>180.169.200.105</t>
  </si>
  <si>
    <t>116.230.190.191</t>
  </si>
  <si>
    <t>2408:820c:5b38:fab0:75e9:677c:26c3:88d0</t>
  </si>
  <si>
    <t>上海</t>
  </si>
  <si>
    <t>210.79.151.66</t>
  </si>
  <si>
    <t>上海話和臺語～</t>
  </si>
  <si>
    <t>2409:8a1e:b0d2:95d1:e1e8:8a8c:ebd0:9c2a</t>
  </si>
  <si>
    <t>常州，上海</t>
  </si>
  <si>
    <t>61.242.135.237</t>
  </si>
  <si>
    <t>115.223.130.181</t>
  </si>
  <si>
    <t>温州话</t>
  </si>
  <si>
    <t>39.144.104.0</t>
  </si>
  <si>
    <t>116.232.220.157(上海-上海)</t>
  </si>
  <si>
    <t>210.13.119.10(上海-上海)</t>
  </si>
  <si>
    <t>219.228.146.195</t>
  </si>
  <si>
    <t>宁波话</t>
  </si>
  <si>
    <t>2a02:586:e920:600:14d:1aa:33c9:14e8</t>
  </si>
  <si>
    <t>240e:428:35:32e:f833:a048:1792:3cdc</t>
  </si>
  <si>
    <t>14.145.35.79</t>
  </si>
  <si>
    <t>粤语</t>
  </si>
  <si>
    <t>171.97.9.127</t>
  </si>
  <si>
    <t>101.87.154.50(上海-上海)</t>
  </si>
  <si>
    <t>117.143.124.37(上海-上海)</t>
  </si>
  <si>
    <t>154.23.188.7</t>
  </si>
  <si>
    <t>2408:8956:650:5b57:5d56:b921:7ebf:cb59</t>
  </si>
  <si>
    <t>103.17.98.25</t>
  </si>
  <si>
    <t>240e:3b1:218:8a70:a2de:fff:fefe:3c58</t>
  </si>
  <si>
    <t>120.197.221.212</t>
  </si>
  <si>
    <t>64.112.178.219</t>
  </si>
  <si>
    <t>中原</t>
  </si>
  <si>
    <t>59.148.80.182</t>
  </si>
  <si>
    <t>2001:250:5006:30f:dcf0:410e:9153:1e63</t>
  </si>
  <si>
    <t>119.146.252.4</t>
  </si>
  <si>
    <t>112.96.170.209</t>
  </si>
  <si>
    <t>124.76.154.1</t>
  </si>
  <si>
    <t>240e:47c:c30:f939:1847:9cca:952a:55a3</t>
  </si>
  <si>
    <t>14.23.56.59</t>
  </si>
  <si>
    <t>2409:891f:ec4:abec:3117:bfd:b15b:67a1</t>
  </si>
  <si>
    <t>240e:390:6ea:5190:9d08:daf6:bcf2:11a5</t>
  </si>
  <si>
    <t>2408:8956:4c10:56b8:a146:a173:71a0:4533</t>
  </si>
  <si>
    <t>西南官话</t>
  </si>
  <si>
    <t>西南</t>
  </si>
  <si>
    <t>潮汕话</t>
  </si>
  <si>
    <t>潮州话</t>
  </si>
  <si>
    <t>闽方言--潮州话</t>
  </si>
  <si>
    <t>不同</t>
    <phoneticPr fontId="18" type="noConversion"/>
  </si>
  <si>
    <t>Q1</t>
    <phoneticPr fontId="18" type="noConversion"/>
  </si>
  <si>
    <t>Q2</t>
    <phoneticPr fontId="18" type="noConversion"/>
  </si>
  <si>
    <t>Q3</t>
    <phoneticPr fontId="18" type="noConversion"/>
  </si>
  <si>
    <t>Q4</t>
    <phoneticPr fontId="18" type="noConversion"/>
  </si>
  <si>
    <t>Q5</t>
    <phoneticPr fontId="18" type="noConversion"/>
  </si>
  <si>
    <t>Q6</t>
    <phoneticPr fontId="18" type="noConversion"/>
  </si>
  <si>
    <t>Q7</t>
    <phoneticPr fontId="18" type="noConversion"/>
  </si>
  <si>
    <t>Q8</t>
    <phoneticPr fontId="18" type="noConversion"/>
  </si>
  <si>
    <t>Q9</t>
    <phoneticPr fontId="18" type="noConversion"/>
  </si>
  <si>
    <t>Q10</t>
    <phoneticPr fontId="18" type="noConversion"/>
  </si>
  <si>
    <t>Q11</t>
    <phoneticPr fontId="18" type="noConversion"/>
  </si>
  <si>
    <t>Q12</t>
    <phoneticPr fontId="18" type="noConversion"/>
  </si>
  <si>
    <t>Q13</t>
    <phoneticPr fontId="18" type="noConversion"/>
  </si>
  <si>
    <t>Q14</t>
    <phoneticPr fontId="18" type="noConversion"/>
  </si>
  <si>
    <t>Q15</t>
    <phoneticPr fontId="18" type="noConversion"/>
  </si>
  <si>
    <t>Q16</t>
    <phoneticPr fontId="18" type="noConversion"/>
  </si>
  <si>
    <t>Q17</t>
    <phoneticPr fontId="18" type="noConversion"/>
  </si>
  <si>
    <t>Q18</t>
    <phoneticPr fontId="18" type="noConversion"/>
  </si>
  <si>
    <t>Q19</t>
    <phoneticPr fontId="18" type="noConversion"/>
  </si>
  <si>
    <t>Q20</t>
    <phoneticPr fontId="18" type="noConversion"/>
  </si>
  <si>
    <t>Style 1</t>
    <phoneticPr fontId="18" type="noConversion"/>
  </si>
  <si>
    <t>Style 2</t>
    <phoneticPr fontId="18" type="noConversion"/>
  </si>
  <si>
    <t>Style 3</t>
    <phoneticPr fontId="18" type="noConversion"/>
  </si>
  <si>
    <t>Style 4</t>
    <phoneticPr fontId="18" type="noConversion"/>
  </si>
  <si>
    <t>Style 5</t>
    <phoneticPr fontId="18" type="noConversion"/>
  </si>
  <si>
    <t>cadence_1导音终止</t>
    <phoneticPr fontId="18" type="noConversion"/>
  </si>
  <si>
    <t>Cadence 1</t>
    <phoneticPr fontId="18" type="noConversion"/>
  </si>
  <si>
    <t>Cadence 2</t>
    <phoneticPr fontId="18" type="noConversion"/>
  </si>
  <si>
    <t>Cadence 3</t>
    <phoneticPr fontId="18" type="noConversion"/>
  </si>
  <si>
    <t>Cadence 4</t>
    <phoneticPr fontId="18" type="noConversion"/>
  </si>
  <si>
    <t>90%山东方言为4个声调</t>
    <phoneticPr fontId="18" type="noConversion"/>
  </si>
  <si>
    <t>3/2的四川方言为4个声调</t>
    <phoneticPr fontId="18" type="noConversion"/>
  </si>
  <si>
    <t>https://zhuanlan.zhihu.com/p/400127267</t>
    <phoneticPr fontId="18" type="noConversion"/>
  </si>
  <si>
    <t>湖南华容县</t>
    <phoneticPr fontId="18" type="noConversion"/>
  </si>
  <si>
    <t>https://zh.wikipedia.org/wiki/%E9%97%BD%E5%8D%97%E8%AF%AD</t>
    <phoneticPr fontId="18" type="noConversion"/>
  </si>
  <si>
    <t>上海话5，无锡话7</t>
    <phoneticPr fontId="18" type="noConversion"/>
  </si>
  <si>
    <t>常州话7，上海话5</t>
    <phoneticPr fontId="18" type="noConversion"/>
  </si>
  <si>
    <t>上海方言音系简化的特点和原因.doc</t>
    <phoneticPr fontId="18" type="noConversion"/>
  </si>
  <si>
    <t>上海话5，台语7，https://zh.wikipedia.org/wiki/%E8%87%BA%E7%81%A3%E8%A9%B1#%E8%AA%9E%E9%9F%B3</t>
    <phoneticPr fontId="18" type="noConversion"/>
  </si>
  <si>
    <t>*老派上海话有8声调</t>
    <phoneticPr fontId="18" type="noConversion"/>
  </si>
  <si>
    <t>https://ionkaon.github.io/phin-in-tutorial/%E5%A3%B0%E8%B0%83/%E5%8D%95%E5%AD%97%E8%B0%83.html#:~:text=%E8%80%81%E6%B4%BE%E5%AE%81%E6%B3%A2%E8%AF%9D%E6%9C%897,%E5%85%A5%E4%BA%86%E9%98%B3%E5%8E%BB%E5%A3%B0%E8%B0%83%E3%80%82</t>
    <phoneticPr fontId="18" type="noConversion"/>
  </si>
  <si>
    <t>吴语太湖片苕溪小片</t>
    <phoneticPr fontId="18" type="noConversion"/>
  </si>
  <si>
    <t>*没有明确的吴语统一算成7声调</t>
    <phoneticPr fontId="18" type="noConversion"/>
  </si>
  <si>
    <t>Total</t>
    <phoneticPr fontId="18" type="noConversion"/>
  </si>
  <si>
    <t>Shanghai</t>
  </si>
  <si>
    <t>Beijing</t>
  </si>
  <si>
    <t>The Dalles</t>
  </si>
  <si>
    <t>Guangzhou</t>
  </si>
  <si>
    <t>Hefei</t>
  </si>
  <si>
    <t>Ann Arbor</t>
  </si>
  <si>
    <t>St Helena</t>
  </si>
  <si>
    <t>Sham Shui Po</t>
  </si>
  <si>
    <t>Boston</t>
  </si>
  <si>
    <t>Kwai Chung</t>
  </si>
  <si>
    <t>Providence (College Hill)</t>
  </si>
  <si>
    <t>Hanoi</t>
  </si>
  <si>
    <t>Victor Harbor</t>
  </si>
  <si>
    <t>Los Angeles (Downtown Los Angeles)</t>
  </si>
  <si>
    <t>Los Angeles</t>
  </si>
  <si>
    <t>Hamilton</t>
  </si>
  <si>
    <t>Ashburn</t>
  </si>
  <si>
    <t>Jinrongjie (Xicheng District)</t>
  </si>
  <si>
    <t>Jinhui</t>
  </si>
  <si>
    <t>Yangpu (Pudong Xinqu)</t>
  </si>
  <si>
    <t>Marousi</t>
  </si>
  <si>
    <t>Minzhi</t>
  </si>
  <si>
    <t>Taoyuan</t>
  </si>
  <si>
    <t>Fanling</t>
  </si>
  <si>
    <t>Luogang</t>
  </si>
  <si>
    <t>Wenzhou</t>
  </si>
  <si>
    <t>Wushan</t>
  </si>
  <si>
    <t>Din Daeng</t>
  </si>
  <si>
    <t>Sijing</t>
  </si>
  <si>
    <t>Changning</t>
  </si>
  <si>
    <t>Singapore (Downtown Core)</t>
  </si>
  <si>
    <t>Central</t>
  </si>
  <si>
    <t>Jinli</t>
  </si>
  <si>
    <t>Xinzao</t>
  </si>
  <si>
    <t>IP Location</t>
    <phoneticPr fontId="18" type="noConversion"/>
  </si>
  <si>
    <t>Wangdian</t>
    <phoneticPr fontId="18" type="noConversion"/>
  </si>
  <si>
    <t>嘉兴</t>
    <phoneticPr fontId="18" type="noConversion"/>
  </si>
  <si>
    <t>变格终止</t>
    <phoneticPr fontId="18" type="noConversion"/>
  </si>
  <si>
    <t>240e:6b0:9ed:9dae:49e1:b385:4130:cffc</t>
    <phoneticPr fontId="18" type="noConversion"/>
  </si>
  <si>
    <t>158.180.69.4</t>
    <phoneticPr fontId="18" type="noConversion"/>
  </si>
  <si>
    <t>183.133.124.115</t>
  </si>
  <si>
    <t>2a10:1fc0:12::c64a:ac9c</t>
  </si>
  <si>
    <t>58.33.243.13</t>
  </si>
  <si>
    <t>2400:2650:9280:4900:255d:416c:f3d8:6a78</t>
  </si>
  <si>
    <t>192.42.116.179</t>
  </si>
  <si>
    <t>139.227.161.114</t>
  </si>
  <si>
    <t>49.195.2.49</t>
  </si>
  <si>
    <t>115.236.2.112</t>
  </si>
  <si>
    <t>119.34.170.47</t>
  </si>
  <si>
    <t>31.223.184.132</t>
  </si>
  <si>
    <t>江南地区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</si>
</sst>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h.wikipedia.org/wiki/%E9%97%BD%E5%8D%97%E8%AF%AD" TargetMode="External"/><Relationship Id="rId2" Type="http://schemas.openxmlformats.org/officeDocument/2006/relationships/hyperlink" Target="https://zhuanlan.zhihu.com/p/400127267" TargetMode="External"/><Relationship Id="rId1" Type="http://schemas.openxmlformats.org/officeDocument/2006/relationships/hyperlink" Target="https://zhuanlan.zhihu.com/p/400127267" TargetMode="External"/><Relationship Id="rId4" Type="http://schemas.openxmlformats.org/officeDocument/2006/relationships/hyperlink" Target="https://ionkaon.github.io/phin-in-tutorial/%E5%A3%B0%E8%B0%83/%E5%8D%95%E5%AD%97%E8%B0%8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AE1B-703E-974A-97E2-45F8DBA68FEB}">
  <dimension ref="A1:CA78"/>
  <sheetViews>
    <sheetView tabSelected="1" topLeftCell="BO1" zoomScale="90" zoomScaleNormal="40" workbookViewId="0">
      <selection activeCell="J79" sqref="J79"/>
    </sheetView>
  </sheetViews>
  <sheetFormatPr baseColWidth="10" defaultRowHeight="16"/>
  <sheetData>
    <row r="1" spans="1:7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234</v>
      </c>
      <c r="G1" t="s">
        <v>5</v>
      </c>
      <c r="H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156</v>
      </c>
      <c r="R1" t="s">
        <v>14</v>
      </c>
      <c r="S1" t="s">
        <v>157</v>
      </c>
      <c r="T1" t="s">
        <v>15</v>
      </c>
      <c r="U1" t="s">
        <v>158</v>
      </c>
      <c r="V1" t="s">
        <v>16</v>
      </c>
      <c r="W1" t="s">
        <v>159</v>
      </c>
      <c r="X1" t="s">
        <v>17</v>
      </c>
      <c r="Y1" t="s">
        <v>160</v>
      </c>
      <c r="Z1" t="s">
        <v>18</v>
      </c>
      <c r="AA1" t="s">
        <v>161</v>
      </c>
      <c r="AB1" t="s">
        <v>19</v>
      </c>
      <c r="AC1" t="s">
        <v>162</v>
      </c>
      <c r="AD1" t="s">
        <v>20</v>
      </c>
      <c r="AE1" t="s">
        <v>163</v>
      </c>
      <c r="AF1" t="s">
        <v>21</v>
      </c>
      <c r="AG1" t="s">
        <v>164</v>
      </c>
      <c r="AH1" t="s">
        <v>22</v>
      </c>
      <c r="AI1" t="s">
        <v>165</v>
      </c>
      <c r="AJ1" t="s">
        <v>23</v>
      </c>
      <c r="AK1" t="s">
        <v>24</v>
      </c>
      <c r="AL1" t="s">
        <v>166</v>
      </c>
      <c r="AM1" t="s">
        <v>25</v>
      </c>
      <c r="AN1" t="s">
        <v>167</v>
      </c>
      <c r="AO1" t="s">
        <v>26</v>
      </c>
      <c r="AP1" t="s">
        <v>168</v>
      </c>
      <c r="AQ1" t="s">
        <v>27</v>
      </c>
      <c r="AR1" t="s">
        <v>169</v>
      </c>
      <c r="AS1" t="s">
        <v>28</v>
      </c>
      <c r="AT1" t="s">
        <v>170</v>
      </c>
      <c r="AU1" t="s">
        <v>29</v>
      </c>
      <c r="AV1" t="s">
        <v>171</v>
      </c>
      <c r="AW1" t="s">
        <v>30</v>
      </c>
      <c r="AX1" t="s">
        <v>172</v>
      </c>
      <c r="AY1" t="s">
        <v>31</v>
      </c>
      <c r="AZ1" t="s">
        <v>173</v>
      </c>
      <c r="BA1" t="s">
        <v>32</v>
      </c>
      <c r="BB1" t="s">
        <v>174</v>
      </c>
      <c r="BC1" t="s">
        <v>33</v>
      </c>
      <c r="BD1" t="s">
        <v>175</v>
      </c>
      <c r="BE1" t="s">
        <v>34</v>
      </c>
      <c r="BF1" t="s">
        <v>35</v>
      </c>
      <c r="BG1" t="s">
        <v>182</v>
      </c>
      <c r="BH1" t="s">
        <v>181</v>
      </c>
      <c r="BI1" t="s">
        <v>183</v>
      </c>
      <c r="BJ1" t="s">
        <v>36</v>
      </c>
      <c r="BK1" t="s">
        <v>184</v>
      </c>
      <c r="BL1" t="s">
        <v>37</v>
      </c>
      <c r="BM1" t="s">
        <v>185</v>
      </c>
      <c r="BN1" t="s">
        <v>38</v>
      </c>
      <c r="BO1" t="s">
        <v>39</v>
      </c>
      <c r="BP1" t="s">
        <v>176</v>
      </c>
      <c r="BQ1" t="s">
        <v>40</v>
      </c>
      <c r="BR1" t="s">
        <v>177</v>
      </c>
      <c r="BS1" t="s">
        <v>41</v>
      </c>
      <c r="BT1" t="s">
        <v>178</v>
      </c>
      <c r="BU1" t="s">
        <v>42</v>
      </c>
      <c r="BV1" t="s">
        <v>179</v>
      </c>
      <c r="BW1" t="s">
        <v>43</v>
      </c>
      <c r="BX1" t="s">
        <v>180</v>
      </c>
      <c r="BY1" t="s">
        <v>44</v>
      </c>
      <c r="BZ1" t="s">
        <v>45</v>
      </c>
      <c r="CA1" t="s">
        <v>199</v>
      </c>
    </row>
    <row r="2" spans="1:79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200</v>
      </c>
      <c r="I2" t="s">
        <v>186</v>
      </c>
      <c r="J2">
        <v>4</v>
      </c>
      <c r="K2">
        <v>1</v>
      </c>
      <c r="L2">
        <v>1</v>
      </c>
      <c r="M2">
        <v>1</v>
      </c>
      <c r="N2">
        <v>0</v>
      </c>
      <c r="O2">
        <v>5</v>
      </c>
      <c r="P2">
        <v>0</v>
      </c>
      <c r="Q2">
        <f t="shared" ref="Q2:Q33" si="0">IF(R2="不同",1,0)</f>
        <v>1</v>
      </c>
      <c r="R2" t="s">
        <v>155</v>
      </c>
      <c r="S2">
        <f t="shared" ref="S2:S33" si="1">IF(T2="相同",1,0)</f>
        <v>1</v>
      </c>
      <c r="T2" t="s">
        <v>52</v>
      </c>
      <c r="U2">
        <f t="shared" ref="U2:U33" si="2">IF(V2="相同",2,0)</f>
        <v>2</v>
      </c>
      <c r="V2" t="s">
        <v>52</v>
      </c>
      <c r="W2">
        <f t="shared" ref="W2:W33" si="3">IF(X2="不同",1,0)</f>
        <v>1</v>
      </c>
      <c r="X2" t="s">
        <v>51</v>
      </c>
      <c r="Y2">
        <f t="shared" ref="Y2:Y33" si="4">IF(Z2="不同",2,0)</f>
        <v>2</v>
      </c>
      <c r="Z2" t="s">
        <v>51</v>
      </c>
      <c r="AA2">
        <f t="shared" ref="AA2:AA33" si="5">IF(AB2="相同",2,0)</f>
        <v>2</v>
      </c>
      <c r="AB2" t="s">
        <v>52</v>
      </c>
      <c r="AC2">
        <f t="shared" ref="AC2:AC33" si="6">IF(AD2="不同",1,0)</f>
        <v>1</v>
      </c>
      <c r="AD2" t="s">
        <v>51</v>
      </c>
      <c r="AE2">
        <f t="shared" ref="AE2:AE33" si="7">IF(AF2="相同",2,0)</f>
        <v>2</v>
      </c>
      <c r="AF2" t="s">
        <v>52</v>
      </c>
      <c r="AG2">
        <f t="shared" ref="AG2:AG33" si="8">IF(AH2="不同",2,0)</f>
        <v>2</v>
      </c>
      <c r="AH2" t="s">
        <v>51</v>
      </c>
      <c r="AI2">
        <f t="shared" ref="AI2:AI33" si="9">IF(AJ2="相同",1,0)</f>
        <v>1</v>
      </c>
      <c r="AJ2" t="s">
        <v>52</v>
      </c>
      <c r="AK2">
        <f t="shared" ref="AK2:AK33" si="10">SUM(Q2,S2,U2,W2,Y2,AA2,AC2,AE2,AG2,AI2)</f>
        <v>15</v>
      </c>
      <c r="AL2">
        <f t="shared" ref="AL2:AL33" si="11">IF(AM2="相同",2,0)</f>
        <v>0</v>
      </c>
      <c r="AM2" t="s">
        <v>51</v>
      </c>
      <c r="AN2">
        <f t="shared" ref="AN2:AN33" si="12">IF(AO2="不同",1,0)</f>
        <v>1</v>
      </c>
      <c r="AO2" t="s">
        <v>51</v>
      </c>
      <c r="AP2">
        <f t="shared" ref="AP2:AP33" si="13">IF(AQ2="不同",1,0)</f>
        <v>1</v>
      </c>
      <c r="AQ2" t="s">
        <v>51</v>
      </c>
      <c r="AR2">
        <v>1</v>
      </c>
      <c r="AS2" t="s">
        <v>51</v>
      </c>
      <c r="AT2">
        <f t="shared" ref="AT2:AT33" si="14">IF(AU2="相同",2,0)</f>
        <v>2</v>
      </c>
      <c r="AU2" t="s">
        <v>52</v>
      </c>
      <c r="AV2">
        <f t="shared" ref="AV2:AV33" si="15">IF(AW2="不同",1,0)</f>
        <v>1</v>
      </c>
      <c r="AW2" t="s">
        <v>51</v>
      </c>
      <c r="AX2">
        <f t="shared" ref="AX2:AX33" si="16">IF(AY2="相同",1,0)</f>
        <v>1</v>
      </c>
      <c r="AY2" t="s">
        <v>52</v>
      </c>
      <c r="AZ2">
        <f t="shared" ref="AZ2:AZ33" si="17">IF(BA2="相同",1,0)</f>
        <v>1</v>
      </c>
      <c r="BA2" t="s">
        <v>52</v>
      </c>
      <c r="BB2">
        <f t="shared" ref="BB2:BB33" si="18">IF(BC2="不同",2,0)</f>
        <v>2</v>
      </c>
      <c r="BC2" t="s">
        <v>51</v>
      </c>
      <c r="BD2">
        <f t="shared" ref="BD2:BD33" si="19">IF(BE2="相同",2,0)</f>
        <v>2</v>
      </c>
      <c r="BE2" t="s">
        <v>52</v>
      </c>
      <c r="BF2">
        <f t="shared" ref="BF2:BF33" si="20">SUM(AL2,AN2,AP2,AR2,AT2,AV2,AX2,AZ2,BB2,BD2)</f>
        <v>12</v>
      </c>
      <c r="BG2">
        <f t="shared" ref="BG2:BG33" si="21">IF(BH2="导音终止",2,0)</f>
        <v>2</v>
      </c>
      <c r="BH2" t="s">
        <v>53</v>
      </c>
      <c r="BI2">
        <f t="shared" ref="BI2:BI33" si="22">IF(BJ2="阻碍终止",2,0)</f>
        <v>2</v>
      </c>
      <c r="BJ2" t="s">
        <v>54</v>
      </c>
      <c r="BK2">
        <f>IF(BL2="完全终止",2,0)</f>
        <v>2</v>
      </c>
      <c r="BL2" t="s">
        <v>55</v>
      </c>
      <c r="BM2">
        <f>IF(BN2="变格终止",2,0)</f>
        <v>2</v>
      </c>
      <c r="BN2" t="s">
        <v>237</v>
      </c>
      <c r="BO2">
        <f t="shared" ref="BO2:BO33" si="23">SUM(BG2,BI2,BK2,BM2)</f>
        <v>8</v>
      </c>
      <c r="BP2">
        <f t="shared" ref="BP2:BP33" si="24">IF(BQ2="Drill",1,0)</f>
        <v>0</v>
      </c>
      <c r="BQ2" t="s">
        <v>57</v>
      </c>
      <c r="BR2">
        <f t="shared" ref="BR2:BR33" si="25">IF(BS2="Reggaetton",1,0)</f>
        <v>1</v>
      </c>
      <c r="BS2" t="s">
        <v>58</v>
      </c>
      <c r="BT2">
        <f t="shared" ref="BT2:BT33" si="26">IF(BU2="R&amp;B",1,0)</f>
        <v>1</v>
      </c>
      <c r="BU2" t="s">
        <v>59</v>
      </c>
      <c r="BV2">
        <f t="shared" ref="BV2:BV33" si="27">IF(BW2="Drum &amp; Bass",1,0)</f>
        <v>0</v>
      </c>
      <c r="BW2" t="s">
        <v>60</v>
      </c>
      <c r="BX2">
        <f t="shared" ref="BX2:BX33" si="28">IF(BY2="Trap",1,0)</f>
        <v>0</v>
      </c>
      <c r="BY2" t="s">
        <v>61</v>
      </c>
      <c r="BZ2">
        <f t="shared" ref="BZ2:BZ33" si="29">SUM(BP2,BR2,BT2,BV2,BX2)</f>
        <v>2</v>
      </c>
      <c r="CA2">
        <f t="shared" ref="CA2:CA33" si="30">SUM(BZ2+BO2+BF2+AK2)</f>
        <v>37</v>
      </c>
    </row>
    <row r="3" spans="1:79">
      <c r="A3" t="s">
        <v>62</v>
      </c>
      <c r="B3" t="s">
        <v>63</v>
      </c>
      <c r="C3" t="s">
        <v>48</v>
      </c>
      <c r="D3" t="s">
        <v>49</v>
      </c>
      <c r="E3" t="s">
        <v>64</v>
      </c>
      <c r="F3" t="s">
        <v>201</v>
      </c>
      <c r="J3">
        <v>4</v>
      </c>
      <c r="K3">
        <v>4</v>
      </c>
      <c r="L3">
        <v>5</v>
      </c>
      <c r="M3">
        <v>2</v>
      </c>
      <c r="N3">
        <v>4</v>
      </c>
      <c r="O3">
        <v>5</v>
      </c>
      <c r="P3">
        <v>0</v>
      </c>
      <c r="Q3">
        <f t="shared" si="0"/>
        <v>1</v>
      </c>
      <c r="R3" t="s">
        <v>51</v>
      </c>
      <c r="S3">
        <f t="shared" si="1"/>
        <v>1</v>
      </c>
      <c r="T3" t="s">
        <v>52</v>
      </c>
      <c r="U3">
        <f t="shared" si="2"/>
        <v>2</v>
      </c>
      <c r="V3" t="s">
        <v>52</v>
      </c>
      <c r="W3">
        <f t="shared" si="3"/>
        <v>1</v>
      </c>
      <c r="X3" t="s">
        <v>51</v>
      </c>
      <c r="Y3">
        <f t="shared" si="4"/>
        <v>2</v>
      </c>
      <c r="Z3" t="s">
        <v>51</v>
      </c>
      <c r="AA3">
        <f t="shared" si="5"/>
        <v>2</v>
      </c>
      <c r="AB3" t="s">
        <v>52</v>
      </c>
      <c r="AC3">
        <f t="shared" si="6"/>
        <v>1</v>
      </c>
      <c r="AD3" t="s">
        <v>51</v>
      </c>
      <c r="AE3">
        <f t="shared" si="7"/>
        <v>2</v>
      </c>
      <c r="AF3" t="s">
        <v>52</v>
      </c>
      <c r="AG3">
        <f t="shared" si="8"/>
        <v>2</v>
      </c>
      <c r="AH3" t="s">
        <v>51</v>
      </c>
      <c r="AI3">
        <f t="shared" si="9"/>
        <v>1</v>
      </c>
      <c r="AJ3" t="s">
        <v>52</v>
      </c>
      <c r="AK3">
        <f t="shared" si="10"/>
        <v>15</v>
      </c>
      <c r="AL3">
        <f t="shared" si="11"/>
        <v>2</v>
      </c>
      <c r="AM3" t="s">
        <v>52</v>
      </c>
      <c r="AN3">
        <f t="shared" si="12"/>
        <v>1</v>
      </c>
      <c r="AO3" t="s">
        <v>51</v>
      </c>
      <c r="AP3">
        <f t="shared" si="13"/>
        <v>1</v>
      </c>
      <c r="AQ3" t="s">
        <v>51</v>
      </c>
      <c r="AR3">
        <f t="shared" ref="AR3:AR34" si="31">IF(AS2="不同",1,0)</f>
        <v>1</v>
      </c>
      <c r="AS3" t="s">
        <v>51</v>
      </c>
      <c r="AT3">
        <f t="shared" si="14"/>
        <v>2</v>
      </c>
      <c r="AU3" t="s">
        <v>52</v>
      </c>
      <c r="AV3">
        <f t="shared" si="15"/>
        <v>1</v>
      </c>
      <c r="AW3" t="s">
        <v>51</v>
      </c>
      <c r="AX3">
        <f t="shared" si="16"/>
        <v>1</v>
      </c>
      <c r="AY3" t="s">
        <v>52</v>
      </c>
      <c r="AZ3">
        <f t="shared" si="17"/>
        <v>1</v>
      </c>
      <c r="BA3" t="s">
        <v>52</v>
      </c>
      <c r="BB3">
        <f t="shared" si="18"/>
        <v>2</v>
      </c>
      <c r="BC3" t="s">
        <v>51</v>
      </c>
      <c r="BD3">
        <f t="shared" si="19"/>
        <v>2</v>
      </c>
      <c r="BE3" t="s">
        <v>52</v>
      </c>
      <c r="BF3">
        <f t="shared" si="20"/>
        <v>14</v>
      </c>
      <c r="BG3">
        <f t="shared" si="21"/>
        <v>2</v>
      </c>
      <c r="BH3" t="s">
        <v>53</v>
      </c>
      <c r="BI3">
        <f t="shared" si="22"/>
        <v>2</v>
      </c>
      <c r="BJ3" t="s">
        <v>54</v>
      </c>
      <c r="BK3">
        <v>1</v>
      </c>
      <c r="BL3" t="s">
        <v>56</v>
      </c>
      <c r="BM3">
        <v>1</v>
      </c>
      <c r="BN3" t="s">
        <v>55</v>
      </c>
      <c r="BO3">
        <f t="shared" si="23"/>
        <v>6</v>
      </c>
      <c r="BP3">
        <f t="shared" si="24"/>
        <v>1</v>
      </c>
      <c r="BQ3" t="s">
        <v>60</v>
      </c>
      <c r="BR3">
        <f t="shared" si="25"/>
        <v>1</v>
      </c>
      <c r="BS3" t="s">
        <v>58</v>
      </c>
      <c r="BT3">
        <f t="shared" si="26"/>
        <v>1</v>
      </c>
      <c r="BU3" t="s">
        <v>59</v>
      </c>
      <c r="BV3">
        <f t="shared" si="27"/>
        <v>1</v>
      </c>
      <c r="BW3" t="s">
        <v>61</v>
      </c>
      <c r="BX3">
        <f t="shared" si="28"/>
        <v>1</v>
      </c>
      <c r="BY3" t="s">
        <v>57</v>
      </c>
      <c r="BZ3">
        <f t="shared" si="29"/>
        <v>5</v>
      </c>
      <c r="CA3">
        <f t="shared" si="30"/>
        <v>40</v>
      </c>
    </row>
    <row r="4" spans="1:79">
      <c r="A4" t="s">
        <v>65</v>
      </c>
      <c r="B4" t="s">
        <v>63</v>
      </c>
      <c r="C4" t="s">
        <v>48</v>
      </c>
      <c r="D4" t="s">
        <v>49</v>
      </c>
      <c r="E4" t="s">
        <v>64</v>
      </c>
      <c r="F4" t="s">
        <v>202</v>
      </c>
      <c r="J4">
        <v>4</v>
      </c>
      <c r="K4">
        <v>1</v>
      </c>
      <c r="L4">
        <v>1</v>
      </c>
      <c r="M4">
        <v>1</v>
      </c>
      <c r="N4">
        <v>3</v>
      </c>
      <c r="O4">
        <v>4</v>
      </c>
      <c r="P4">
        <v>0</v>
      </c>
      <c r="Q4">
        <f t="shared" si="0"/>
        <v>1</v>
      </c>
      <c r="R4" t="s">
        <v>51</v>
      </c>
      <c r="S4">
        <f t="shared" si="1"/>
        <v>1</v>
      </c>
      <c r="T4" t="s">
        <v>52</v>
      </c>
      <c r="U4">
        <f t="shared" si="2"/>
        <v>0</v>
      </c>
      <c r="V4" t="s">
        <v>51</v>
      </c>
      <c r="W4">
        <f t="shared" si="3"/>
        <v>1</v>
      </c>
      <c r="X4" t="s">
        <v>51</v>
      </c>
      <c r="Y4">
        <f t="shared" si="4"/>
        <v>2</v>
      </c>
      <c r="Z4" t="s">
        <v>51</v>
      </c>
      <c r="AA4">
        <f t="shared" si="5"/>
        <v>2</v>
      </c>
      <c r="AB4" t="s">
        <v>52</v>
      </c>
      <c r="AC4">
        <f t="shared" si="6"/>
        <v>0</v>
      </c>
      <c r="AD4" t="s">
        <v>52</v>
      </c>
      <c r="AE4">
        <f t="shared" si="7"/>
        <v>2</v>
      </c>
      <c r="AF4" t="s">
        <v>52</v>
      </c>
      <c r="AG4">
        <f t="shared" si="8"/>
        <v>2</v>
      </c>
      <c r="AH4" t="s">
        <v>51</v>
      </c>
      <c r="AI4">
        <f t="shared" si="9"/>
        <v>1</v>
      </c>
      <c r="AJ4" t="s">
        <v>52</v>
      </c>
      <c r="AK4">
        <f t="shared" si="10"/>
        <v>12</v>
      </c>
      <c r="AL4">
        <f t="shared" si="11"/>
        <v>2</v>
      </c>
      <c r="AM4" t="s">
        <v>52</v>
      </c>
      <c r="AN4">
        <f t="shared" si="12"/>
        <v>1</v>
      </c>
      <c r="AO4" t="s">
        <v>51</v>
      </c>
      <c r="AP4">
        <f t="shared" si="13"/>
        <v>1</v>
      </c>
      <c r="AQ4" t="s">
        <v>51</v>
      </c>
      <c r="AR4">
        <f t="shared" si="31"/>
        <v>1</v>
      </c>
      <c r="AS4" t="s">
        <v>51</v>
      </c>
      <c r="AT4">
        <f t="shared" si="14"/>
        <v>2</v>
      </c>
      <c r="AU4" t="s">
        <v>52</v>
      </c>
      <c r="AV4">
        <f t="shared" si="15"/>
        <v>1</v>
      </c>
      <c r="AW4" t="s">
        <v>51</v>
      </c>
      <c r="AX4">
        <f t="shared" si="16"/>
        <v>1</v>
      </c>
      <c r="AY4" t="s">
        <v>52</v>
      </c>
      <c r="AZ4">
        <f t="shared" si="17"/>
        <v>1</v>
      </c>
      <c r="BA4" t="s">
        <v>52</v>
      </c>
      <c r="BB4">
        <f t="shared" si="18"/>
        <v>2</v>
      </c>
      <c r="BC4" t="s">
        <v>51</v>
      </c>
      <c r="BD4">
        <f t="shared" si="19"/>
        <v>2</v>
      </c>
      <c r="BE4" t="s">
        <v>52</v>
      </c>
      <c r="BF4">
        <f t="shared" si="20"/>
        <v>14</v>
      </c>
      <c r="BG4">
        <f t="shared" si="21"/>
        <v>2</v>
      </c>
      <c r="BH4" t="s">
        <v>53</v>
      </c>
      <c r="BI4">
        <f t="shared" si="22"/>
        <v>2</v>
      </c>
      <c r="BJ4" t="s">
        <v>54</v>
      </c>
      <c r="BK4">
        <v>1</v>
      </c>
      <c r="BL4" t="s">
        <v>56</v>
      </c>
      <c r="BM4">
        <v>1</v>
      </c>
      <c r="BN4" t="s">
        <v>55</v>
      </c>
      <c r="BO4">
        <f t="shared" si="23"/>
        <v>6</v>
      </c>
      <c r="BP4">
        <f t="shared" si="24"/>
        <v>1</v>
      </c>
      <c r="BQ4" t="s">
        <v>60</v>
      </c>
      <c r="BR4">
        <f t="shared" si="25"/>
        <v>1</v>
      </c>
      <c r="BS4" t="s">
        <v>58</v>
      </c>
      <c r="BT4">
        <f t="shared" si="26"/>
        <v>1</v>
      </c>
      <c r="BU4" t="s">
        <v>59</v>
      </c>
      <c r="BV4">
        <f t="shared" si="27"/>
        <v>1</v>
      </c>
      <c r="BW4" t="s">
        <v>61</v>
      </c>
      <c r="BX4">
        <f t="shared" si="28"/>
        <v>1</v>
      </c>
      <c r="BY4" t="s">
        <v>57</v>
      </c>
      <c r="BZ4">
        <f t="shared" si="29"/>
        <v>5</v>
      </c>
      <c r="CA4">
        <f t="shared" si="30"/>
        <v>37</v>
      </c>
    </row>
    <row r="5" spans="1:79">
      <c r="A5" t="s">
        <v>66</v>
      </c>
      <c r="B5" t="s">
        <v>67</v>
      </c>
      <c r="C5" t="s">
        <v>68</v>
      </c>
      <c r="D5" t="s">
        <v>49</v>
      </c>
      <c r="E5" t="s">
        <v>69</v>
      </c>
      <c r="F5" t="s">
        <v>201</v>
      </c>
      <c r="J5">
        <v>4</v>
      </c>
      <c r="K5">
        <v>2</v>
      </c>
      <c r="L5">
        <v>5</v>
      </c>
      <c r="M5">
        <v>1</v>
      </c>
      <c r="N5">
        <v>0</v>
      </c>
      <c r="O5">
        <v>5</v>
      </c>
      <c r="P5">
        <v>1</v>
      </c>
      <c r="Q5">
        <f t="shared" si="0"/>
        <v>1</v>
      </c>
      <c r="R5" t="s">
        <v>51</v>
      </c>
      <c r="S5">
        <f t="shared" si="1"/>
        <v>0</v>
      </c>
      <c r="T5" t="s">
        <v>51</v>
      </c>
      <c r="U5">
        <f t="shared" si="2"/>
        <v>2</v>
      </c>
      <c r="V5" t="s">
        <v>52</v>
      </c>
      <c r="W5">
        <f t="shared" si="3"/>
        <v>1</v>
      </c>
      <c r="X5" t="s">
        <v>51</v>
      </c>
      <c r="Y5">
        <f t="shared" si="4"/>
        <v>0</v>
      </c>
      <c r="Z5" t="s">
        <v>52</v>
      </c>
      <c r="AA5">
        <f t="shared" si="5"/>
        <v>2</v>
      </c>
      <c r="AB5" t="s">
        <v>52</v>
      </c>
      <c r="AC5">
        <f t="shared" si="6"/>
        <v>1</v>
      </c>
      <c r="AD5" t="s">
        <v>51</v>
      </c>
      <c r="AE5">
        <f t="shared" si="7"/>
        <v>2</v>
      </c>
      <c r="AF5" t="s">
        <v>52</v>
      </c>
      <c r="AG5">
        <f t="shared" si="8"/>
        <v>0</v>
      </c>
      <c r="AH5" t="s">
        <v>52</v>
      </c>
      <c r="AI5">
        <f t="shared" si="9"/>
        <v>1</v>
      </c>
      <c r="AJ5" t="s">
        <v>52</v>
      </c>
      <c r="AK5">
        <f t="shared" si="10"/>
        <v>10</v>
      </c>
      <c r="AL5">
        <f t="shared" si="11"/>
        <v>2</v>
      </c>
      <c r="AM5" t="s">
        <v>52</v>
      </c>
      <c r="AN5">
        <f t="shared" si="12"/>
        <v>1</v>
      </c>
      <c r="AO5" t="s">
        <v>51</v>
      </c>
      <c r="AP5">
        <f t="shared" si="13"/>
        <v>1</v>
      </c>
      <c r="AQ5" t="s">
        <v>51</v>
      </c>
      <c r="AR5">
        <f t="shared" si="31"/>
        <v>1</v>
      </c>
      <c r="AS5" t="s">
        <v>52</v>
      </c>
      <c r="AT5">
        <f t="shared" si="14"/>
        <v>0</v>
      </c>
      <c r="AU5" t="s">
        <v>51</v>
      </c>
      <c r="AV5">
        <f t="shared" si="15"/>
        <v>1</v>
      </c>
      <c r="AW5" t="s">
        <v>51</v>
      </c>
      <c r="AX5">
        <f t="shared" si="16"/>
        <v>1</v>
      </c>
      <c r="AY5" t="s">
        <v>52</v>
      </c>
      <c r="AZ5">
        <f t="shared" si="17"/>
        <v>1</v>
      </c>
      <c r="BA5" t="s">
        <v>52</v>
      </c>
      <c r="BB5">
        <f t="shared" si="18"/>
        <v>0</v>
      </c>
      <c r="BC5" t="s">
        <v>52</v>
      </c>
      <c r="BD5">
        <f t="shared" si="19"/>
        <v>0</v>
      </c>
      <c r="BE5" t="s">
        <v>51</v>
      </c>
      <c r="BF5">
        <f t="shared" si="20"/>
        <v>8</v>
      </c>
      <c r="BG5">
        <f t="shared" si="21"/>
        <v>2</v>
      </c>
      <c r="BH5" t="s">
        <v>53</v>
      </c>
      <c r="BI5">
        <f t="shared" si="22"/>
        <v>0</v>
      </c>
      <c r="BJ5" t="s">
        <v>55</v>
      </c>
      <c r="BK5">
        <f>IF(BL5="完全终止",2,0)</f>
        <v>2</v>
      </c>
      <c r="BL5" t="s">
        <v>55</v>
      </c>
      <c r="BM5">
        <f>IF(BN5="变格终止",2,0)</f>
        <v>0</v>
      </c>
      <c r="BN5" t="s">
        <v>54</v>
      </c>
      <c r="BO5">
        <f t="shared" si="23"/>
        <v>4</v>
      </c>
      <c r="BP5">
        <f t="shared" si="24"/>
        <v>1</v>
      </c>
      <c r="BQ5" t="s">
        <v>60</v>
      </c>
      <c r="BR5">
        <f t="shared" si="25"/>
        <v>1</v>
      </c>
      <c r="BS5" t="s">
        <v>58</v>
      </c>
      <c r="BT5">
        <f t="shared" si="26"/>
        <v>1</v>
      </c>
      <c r="BU5" t="s">
        <v>59</v>
      </c>
      <c r="BV5">
        <f t="shared" si="27"/>
        <v>1</v>
      </c>
      <c r="BW5" t="s">
        <v>61</v>
      </c>
      <c r="BX5">
        <f t="shared" si="28"/>
        <v>1</v>
      </c>
      <c r="BY5" t="s">
        <v>57</v>
      </c>
      <c r="BZ5">
        <f t="shared" si="29"/>
        <v>5</v>
      </c>
      <c r="CA5">
        <f t="shared" si="30"/>
        <v>27</v>
      </c>
    </row>
    <row r="6" spans="1:79">
      <c r="A6" t="s">
        <v>70</v>
      </c>
      <c r="B6" t="s">
        <v>63</v>
      </c>
      <c r="C6" t="s">
        <v>71</v>
      </c>
      <c r="D6" t="s">
        <v>49</v>
      </c>
      <c r="E6" t="s">
        <v>72</v>
      </c>
      <c r="F6" t="s">
        <v>203</v>
      </c>
      <c r="I6" t="s">
        <v>187</v>
      </c>
      <c r="J6">
        <v>4</v>
      </c>
      <c r="K6">
        <v>4</v>
      </c>
      <c r="L6">
        <v>5</v>
      </c>
      <c r="M6">
        <v>1</v>
      </c>
      <c r="N6">
        <v>3</v>
      </c>
      <c r="O6">
        <v>3</v>
      </c>
      <c r="P6">
        <v>0</v>
      </c>
      <c r="Q6">
        <f t="shared" si="0"/>
        <v>1</v>
      </c>
      <c r="R6" t="s">
        <v>51</v>
      </c>
      <c r="S6">
        <f t="shared" si="1"/>
        <v>1</v>
      </c>
      <c r="T6" t="s">
        <v>52</v>
      </c>
      <c r="U6">
        <f t="shared" si="2"/>
        <v>2</v>
      </c>
      <c r="V6" t="s">
        <v>52</v>
      </c>
      <c r="W6">
        <f t="shared" si="3"/>
        <v>1</v>
      </c>
      <c r="X6" t="s">
        <v>51</v>
      </c>
      <c r="Y6">
        <f t="shared" si="4"/>
        <v>2</v>
      </c>
      <c r="Z6" t="s">
        <v>51</v>
      </c>
      <c r="AA6">
        <f t="shared" si="5"/>
        <v>2</v>
      </c>
      <c r="AB6" t="s">
        <v>52</v>
      </c>
      <c r="AC6">
        <f t="shared" si="6"/>
        <v>0</v>
      </c>
      <c r="AD6" t="s">
        <v>52</v>
      </c>
      <c r="AE6">
        <f t="shared" si="7"/>
        <v>2</v>
      </c>
      <c r="AF6" t="s">
        <v>52</v>
      </c>
      <c r="AG6">
        <f t="shared" si="8"/>
        <v>2</v>
      </c>
      <c r="AH6" t="s">
        <v>51</v>
      </c>
      <c r="AI6">
        <f t="shared" si="9"/>
        <v>1</v>
      </c>
      <c r="AJ6" t="s">
        <v>52</v>
      </c>
      <c r="AK6">
        <f t="shared" si="10"/>
        <v>14</v>
      </c>
      <c r="AL6">
        <f t="shared" si="11"/>
        <v>2</v>
      </c>
      <c r="AM6" t="s">
        <v>52</v>
      </c>
      <c r="AN6">
        <f t="shared" si="12"/>
        <v>1</v>
      </c>
      <c r="AO6" t="s">
        <v>51</v>
      </c>
      <c r="AP6">
        <f t="shared" si="13"/>
        <v>1</v>
      </c>
      <c r="AQ6" t="s">
        <v>51</v>
      </c>
      <c r="AR6">
        <f t="shared" si="31"/>
        <v>0</v>
      </c>
      <c r="AS6" t="s">
        <v>51</v>
      </c>
      <c r="AT6">
        <f t="shared" si="14"/>
        <v>2</v>
      </c>
      <c r="AU6" t="s">
        <v>52</v>
      </c>
      <c r="AV6">
        <f t="shared" si="15"/>
        <v>1</v>
      </c>
      <c r="AW6" t="s">
        <v>51</v>
      </c>
      <c r="AX6">
        <f t="shared" si="16"/>
        <v>1</v>
      </c>
      <c r="AY6" t="s">
        <v>52</v>
      </c>
      <c r="AZ6">
        <f t="shared" si="17"/>
        <v>0</v>
      </c>
      <c r="BA6" t="s">
        <v>51</v>
      </c>
      <c r="BB6">
        <f t="shared" si="18"/>
        <v>2</v>
      </c>
      <c r="BC6" t="s">
        <v>51</v>
      </c>
      <c r="BD6">
        <f t="shared" si="19"/>
        <v>2</v>
      </c>
      <c r="BE6" t="s">
        <v>52</v>
      </c>
      <c r="BF6">
        <f t="shared" si="20"/>
        <v>12</v>
      </c>
      <c r="BG6">
        <f t="shared" si="21"/>
        <v>0</v>
      </c>
      <c r="BH6" t="s">
        <v>54</v>
      </c>
      <c r="BI6">
        <f t="shared" si="22"/>
        <v>0</v>
      </c>
      <c r="BJ6" t="s">
        <v>53</v>
      </c>
      <c r="BK6">
        <f>IF(BL6="完全终止",2,0)</f>
        <v>2</v>
      </c>
      <c r="BL6" t="s">
        <v>55</v>
      </c>
      <c r="BM6">
        <f>IF(BN6="变格终止",2,0)</f>
        <v>2</v>
      </c>
      <c r="BN6" t="s">
        <v>56</v>
      </c>
      <c r="BO6">
        <f t="shared" si="23"/>
        <v>4</v>
      </c>
      <c r="BP6">
        <f t="shared" si="24"/>
        <v>1</v>
      </c>
      <c r="BQ6" t="s">
        <v>60</v>
      </c>
      <c r="BR6">
        <f t="shared" si="25"/>
        <v>1</v>
      </c>
      <c r="BS6" t="s">
        <v>58</v>
      </c>
      <c r="BT6">
        <f t="shared" si="26"/>
        <v>0</v>
      </c>
      <c r="BU6" t="s">
        <v>57</v>
      </c>
      <c r="BV6">
        <f t="shared" si="27"/>
        <v>1</v>
      </c>
      <c r="BW6" t="s">
        <v>61</v>
      </c>
      <c r="BX6">
        <f t="shared" si="28"/>
        <v>0</v>
      </c>
      <c r="BY6" t="s">
        <v>59</v>
      </c>
      <c r="BZ6">
        <f t="shared" si="29"/>
        <v>3</v>
      </c>
      <c r="CA6">
        <f t="shared" si="30"/>
        <v>33</v>
      </c>
    </row>
    <row r="7" spans="1:79">
      <c r="A7" t="s">
        <v>73</v>
      </c>
      <c r="B7" t="s">
        <v>67</v>
      </c>
      <c r="C7" t="s">
        <v>71</v>
      </c>
      <c r="D7" t="s">
        <v>49</v>
      </c>
      <c r="E7" t="s">
        <v>74</v>
      </c>
      <c r="F7" t="s">
        <v>204</v>
      </c>
      <c r="J7">
        <v>4</v>
      </c>
      <c r="K7">
        <v>4</v>
      </c>
      <c r="L7">
        <v>5</v>
      </c>
      <c r="M7">
        <v>2</v>
      </c>
      <c r="N7">
        <v>0</v>
      </c>
      <c r="O7">
        <v>3</v>
      </c>
      <c r="P7">
        <v>0</v>
      </c>
      <c r="Q7">
        <f t="shared" si="0"/>
        <v>1</v>
      </c>
      <c r="R7" t="s">
        <v>51</v>
      </c>
      <c r="S7">
        <f t="shared" si="1"/>
        <v>1</v>
      </c>
      <c r="T7" t="s">
        <v>52</v>
      </c>
      <c r="U7">
        <f t="shared" si="2"/>
        <v>0</v>
      </c>
      <c r="V7" t="s">
        <v>51</v>
      </c>
      <c r="W7">
        <f t="shared" si="3"/>
        <v>1</v>
      </c>
      <c r="X7" t="s">
        <v>51</v>
      </c>
      <c r="Y7">
        <f t="shared" si="4"/>
        <v>2</v>
      </c>
      <c r="Z7" t="s">
        <v>51</v>
      </c>
      <c r="AA7">
        <f t="shared" si="5"/>
        <v>0</v>
      </c>
      <c r="AB7" t="s">
        <v>51</v>
      </c>
      <c r="AC7">
        <f t="shared" si="6"/>
        <v>1</v>
      </c>
      <c r="AD7" t="s">
        <v>51</v>
      </c>
      <c r="AE7">
        <f t="shared" si="7"/>
        <v>2</v>
      </c>
      <c r="AF7" t="s">
        <v>52</v>
      </c>
      <c r="AG7">
        <f t="shared" si="8"/>
        <v>2</v>
      </c>
      <c r="AH7" t="s">
        <v>51</v>
      </c>
      <c r="AI7">
        <f t="shared" si="9"/>
        <v>1</v>
      </c>
      <c r="AJ7" t="s">
        <v>52</v>
      </c>
      <c r="AK7">
        <f t="shared" si="10"/>
        <v>11</v>
      </c>
      <c r="AL7">
        <f t="shared" si="11"/>
        <v>0</v>
      </c>
      <c r="AM7" t="s">
        <v>51</v>
      </c>
      <c r="AN7">
        <f t="shared" si="12"/>
        <v>1</v>
      </c>
      <c r="AO7" t="s">
        <v>51</v>
      </c>
      <c r="AP7">
        <f t="shared" si="13"/>
        <v>1</v>
      </c>
      <c r="AQ7" t="s">
        <v>51</v>
      </c>
      <c r="AR7">
        <f t="shared" si="31"/>
        <v>1</v>
      </c>
      <c r="AS7" t="s">
        <v>51</v>
      </c>
      <c r="AT7">
        <f t="shared" si="14"/>
        <v>2</v>
      </c>
      <c r="AU7" t="s">
        <v>52</v>
      </c>
      <c r="AV7">
        <f t="shared" si="15"/>
        <v>1</v>
      </c>
      <c r="AW7" t="s">
        <v>51</v>
      </c>
      <c r="AX7">
        <f t="shared" si="16"/>
        <v>1</v>
      </c>
      <c r="AY7" t="s">
        <v>52</v>
      </c>
      <c r="AZ7">
        <f t="shared" si="17"/>
        <v>1</v>
      </c>
      <c r="BA7" t="s">
        <v>52</v>
      </c>
      <c r="BB7">
        <f t="shared" si="18"/>
        <v>2</v>
      </c>
      <c r="BC7" t="s">
        <v>51</v>
      </c>
      <c r="BD7">
        <f t="shared" si="19"/>
        <v>2</v>
      </c>
      <c r="BE7" t="s">
        <v>52</v>
      </c>
      <c r="BF7">
        <f t="shared" si="20"/>
        <v>12</v>
      </c>
      <c r="BG7">
        <f t="shared" si="21"/>
        <v>2</v>
      </c>
      <c r="BH7" t="s">
        <v>53</v>
      </c>
      <c r="BI7">
        <f t="shared" si="22"/>
        <v>2</v>
      </c>
      <c r="BJ7" t="s">
        <v>54</v>
      </c>
      <c r="BK7">
        <v>1</v>
      </c>
      <c r="BL7" t="s">
        <v>56</v>
      </c>
      <c r="BM7">
        <v>1</v>
      </c>
      <c r="BN7" t="s">
        <v>55</v>
      </c>
      <c r="BO7">
        <f t="shared" si="23"/>
        <v>6</v>
      </c>
      <c r="BP7">
        <f t="shared" si="24"/>
        <v>1</v>
      </c>
      <c r="BQ7" t="s">
        <v>60</v>
      </c>
      <c r="BR7">
        <f t="shared" si="25"/>
        <v>1</v>
      </c>
      <c r="BS7" t="s">
        <v>58</v>
      </c>
      <c r="BT7">
        <f t="shared" si="26"/>
        <v>1</v>
      </c>
      <c r="BU7" t="s">
        <v>59</v>
      </c>
      <c r="BV7">
        <f t="shared" si="27"/>
        <v>1</v>
      </c>
      <c r="BW7" t="s">
        <v>61</v>
      </c>
      <c r="BX7">
        <f t="shared" si="28"/>
        <v>1</v>
      </c>
      <c r="BY7" t="s">
        <v>57</v>
      </c>
      <c r="BZ7">
        <f t="shared" si="29"/>
        <v>5</v>
      </c>
      <c r="CA7">
        <f t="shared" si="30"/>
        <v>34</v>
      </c>
    </row>
    <row r="8" spans="1:79">
      <c r="A8" t="s">
        <v>81</v>
      </c>
      <c r="B8" t="s">
        <v>67</v>
      </c>
      <c r="C8" t="s">
        <v>76</v>
      </c>
      <c r="D8" t="s">
        <v>49</v>
      </c>
      <c r="E8" t="s">
        <v>64</v>
      </c>
      <c r="F8" t="s">
        <v>205</v>
      </c>
      <c r="J8">
        <v>4</v>
      </c>
      <c r="K8">
        <v>4</v>
      </c>
      <c r="L8">
        <v>3</v>
      </c>
      <c r="M8">
        <v>4</v>
      </c>
      <c r="N8">
        <v>4</v>
      </c>
      <c r="O8">
        <v>5</v>
      </c>
      <c r="P8">
        <v>0</v>
      </c>
      <c r="Q8">
        <f t="shared" si="0"/>
        <v>1</v>
      </c>
      <c r="R8" t="s">
        <v>51</v>
      </c>
      <c r="S8">
        <f t="shared" si="1"/>
        <v>1</v>
      </c>
      <c r="T8" t="s">
        <v>52</v>
      </c>
      <c r="U8">
        <f t="shared" si="2"/>
        <v>2</v>
      </c>
      <c r="V8" t="s">
        <v>52</v>
      </c>
      <c r="W8">
        <f t="shared" si="3"/>
        <v>1</v>
      </c>
      <c r="X8" t="s">
        <v>51</v>
      </c>
      <c r="Y8">
        <f t="shared" si="4"/>
        <v>2</v>
      </c>
      <c r="Z8" t="s">
        <v>51</v>
      </c>
      <c r="AA8">
        <f t="shared" si="5"/>
        <v>0</v>
      </c>
      <c r="AB8" t="s">
        <v>51</v>
      </c>
      <c r="AC8">
        <f t="shared" si="6"/>
        <v>1</v>
      </c>
      <c r="AD8" t="s">
        <v>51</v>
      </c>
      <c r="AE8">
        <f t="shared" si="7"/>
        <v>2</v>
      </c>
      <c r="AF8" t="s">
        <v>52</v>
      </c>
      <c r="AG8">
        <f t="shared" si="8"/>
        <v>2</v>
      </c>
      <c r="AH8" t="s">
        <v>51</v>
      </c>
      <c r="AI8">
        <f t="shared" si="9"/>
        <v>1</v>
      </c>
      <c r="AJ8" t="s">
        <v>52</v>
      </c>
      <c r="AK8">
        <f t="shared" si="10"/>
        <v>13</v>
      </c>
      <c r="AL8">
        <f t="shared" si="11"/>
        <v>2</v>
      </c>
      <c r="AM8" t="s">
        <v>52</v>
      </c>
      <c r="AN8">
        <f t="shared" si="12"/>
        <v>1</v>
      </c>
      <c r="AO8" t="s">
        <v>51</v>
      </c>
      <c r="AP8">
        <f t="shared" si="13"/>
        <v>1</v>
      </c>
      <c r="AQ8" t="s">
        <v>51</v>
      </c>
      <c r="AR8">
        <f t="shared" si="31"/>
        <v>1</v>
      </c>
      <c r="AS8" t="s">
        <v>51</v>
      </c>
      <c r="AT8">
        <f t="shared" si="14"/>
        <v>2</v>
      </c>
      <c r="AU8" t="s">
        <v>52</v>
      </c>
      <c r="AV8">
        <f t="shared" si="15"/>
        <v>1</v>
      </c>
      <c r="AW8" t="s">
        <v>51</v>
      </c>
      <c r="AX8">
        <f t="shared" si="16"/>
        <v>1</v>
      </c>
      <c r="AY8" t="s">
        <v>52</v>
      </c>
      <c r="AZ8">
        <f t="shared" si="17"/>
        <v>1</v>
      </c>
      <c r="BA8" t="s">
        <v>52</v>
      </c>
      <c r="BB8">
        <f t="shared" si="18"/>
        <v>0</v>
      </c>
      <c r="BC8" t="s">
        <v>52</v>
      </c>
      <c r="BD8">
        <f t="shared" si="19"/>
        <v>2</v>
      </c>
      <c r="BE8" t="s">
        <v>52</v>
      </c>
      <c r="BF8">
        <f t="shared" si="20"/>
        <v>12</v>
      </c>
      <c r="BG8">
        <f t="shared" si="21"/>
        <v>0</v>
      </c>
      <c r="BH8" t="s">
        <v>56</v>
      </c>
      <c r="BI8">
        <f t="shared" si="22"/>
        <v>2</v>
      </c>
      <c r="BJ8" t="s">
        <v>54</v>
      </c>
      <c r="BK8">
        <f>IF(BL8="完全终止",2,0)</f>
        <v>2</v>
      </c>
      <c r="BL8" t="s">
        <v>55</v>
      </c>
      <c r="BM8">
        <f>IF(BN8="变格终止",2,0)</f>
        <v>0</v>
      </c>
      <c r="BN8" t="s">
        <v>53</v>
      </c>
      <c r="BO8">
        <f t="shared" si="23"/>
        <v>4</v>
      </c>
      <c r="BP8">
        <f t="shared" si="24"/>
        <v>1</v>
      </c>
      <c r="BQ8" t="s">
        <v>60</v>
      </c>
      <c r="BR8">
        <f t="shared" si="25"/>
        <v>1</v>
      </c>
      <c r="BS8" t="s">
        <v>58</v>
      </c>
      <c r="BT8">
        <f t="shared" si="26"/>
        <v>1</v>
      </c>
      <c r="BU8" t="s">
        <v>59</v>
      </c>
      <c r="BV8">
        <f t="shared" si="27"/>
        <v>1</v>
      </c>
      <c r="BW8" t="s">
        <v>61</v>
      </c>
      <c r="BX8">
        <f t="shared" si="28"/>
        <v>1</v>
      </c>
      <c r="BY8" t="s">
        <v>57</v>
      </c>
      <c r="BZ8">
        <f t="shared" si="29"/>
        <v>5</v>
      </c>
      <c r="CA8">
        <f t="shared" si="30"/>
        <v>34</v>
      </c>
    </row>
    <row r="9" spans="1:79">
      <c r="A9" t="s">
        <v>82</v>
      </c>
      <c r="B9" t="s">
        <v>63</v>
      </c>
      <c r="C9" t="s">
        <v>76</v>
      </c>
      <c r="D9" t="s">
        <v>49</v>
      </c>
      <c r="E9" t="s">
        <v>64</v>
      </c>
      <c r="F9" t="s">
        <v>200</v>
      </c>
      <c r="J9">
        <v>4</v>
      </c>
      <c r="K9">
        <v>4</v>
      </c>
      <c r="L9">
        <v>5</v>
      </c>
      <c r="M9">
        <v>4</v>
      </c>
      <c r="N9">
        <v>1</v>
      </c>
      <c r="O9">
        <v>4</v>
      </c>
      <c r="P9">
        <v>0</v>
      </c>
      <c r="Q9">
        <f t="shared" si="0"/>
        <v>1</v>
      </c>
      <c r="R9" t="s">
        <v>51</v>
      </c>
      <c r="S9">
        <f t="shared" si="1"/>
        <v>1</v>
      </c>
      <c r="T9" t="s">
        <v>52</v>
      </c>
      <c r="U9">
        <f t="shared" si="2"/>
        <v>2</v>
      </c>
      <c r="V9" t="s">
        <v>52</v>
      </c>
      <c r="W9">
        <f t="shared" si="3"/>
        <v>1</v>
      </c>
      <c r="X9" t="s">
        <v>51</v>
      </c>
      <c r="Y9">
        <f t="shared" si="4"/>
        <v>2</v>
      </c>
      <c r="Z9" t="s">
        <v>51</v>
      </c>
      <c r="AA9">
        <f t="shared" si="5"/>
        <v>2</v>
      </c>
      <c r="AB9" t="s">
        <v>52</v>
      </c>
      <c r="AC9">
        <f t="shared" si="6"/>
        <v>1</v>
      </c>
      <c r="AD9" t="s">
        <v>51</v>
      </c>
      <c r="AE9">
        <f t="shared" si="7"/>
        <v>2</v>
      </c>
      <c r="AF9" t="s">
        <v>52</v>
      </c>
      <c r="AG9">
        <f t="shared" si="8"/>
        <v>2</v>
      </c>
      <c r="AH9" t="s">
        <v>51</v>
      </c>
      <c r="AI9">
        <f t="shared" si="9"/>
        <v>1</v>
      </c>
      <c r="AJ9" t="s">
        <v>52</v>
      </c>
      <c r="AK9">
        <f t="shared" si="10"/>
        <v>15</v>
      </c>
      <c r="AL9">
        <f t="shared" si="11"/>
        <v>2</v>
      </c>
      <c r="AM9" t="s">
        <v>52</v>
      </c>
      <c r="AN9">
        <f t="shared" si="12"/>
        <v>1</v>
      </c>
      <c r="AO9" t="s">
        <v>51</v>
      </c>
      <c r="AP9">
        <f t="shared" si="13"/>
        <v>1</v>
      </c>
      <c r="AQ9" t="s">
        <v>51</v>
      </c>
      <c r="AR9">
        <f t="shared" si="31"/>
        <v>1</v>
      </c>
      <c r="AS9" t="s">
        <v>51</v>
      </c>
      <c r="AT9">
        <f t="shared" si="14"/>
        <v>2</v>
      </c>
      <c r="AU9" t="s">
        <v>52</v>
      </c>
      <c r="AV9">
        <f t="shared" si="15"/>
        <v>1</v>
      </c>
      <c r="AW9" t="s">
        <v>51</v>
      </c>
      <c r="AX9">
        <f t="shared" si="16"/>
        <v>0</v>
      </c>
      <c r="AY9" t="s">
        <v>51</v>
      </c>
      <c r="AZ9">
        <f t="shared" si="17"/>
        <v>1</v>
      </c>
      <c r="BA9" t="s">
        <v>52</v>
      </c>
      <c r="BB9">
        <f t="shared" si="18"/>
        <v>2</v>
      </c>
      <c r="BC9" t="s">
        <v>51</v>
      </c>
      <c r="BD9">
        <f t="shared" si="19"/>
        <v>2</v>
      </c>
      <c r="BE9" t="s">
        <v>52</v>
      </c>
      <c r="BF9">
        <f t="shared" si="20"/>
        <v>13</v>
      </c>
      <c r="BG9">
        <f t="shared" si="21"/>
        <v>2</v>
      </c>
      <c r="BH9" t="s">
        <v>53</v>
      </c>
      <c r="BI9">
        <f t="shared" si="22"/>
        <v>0</v>
      </c>
      <c r="BJ9" t="s">
        <v>56</v>
      </c>
      <c r="BK9">
        <f>IF(BL9="完全终止",2,0)</f>
        <v>2</v>
      </c>
      <c r="BL9" t="s">
        <v>55</v>
      </c>
      <c r="BM9">
        <f>IF(BN9="变格终止",2,0)</f>
        <v>0</v>
      </c>
      <c r="BN9" t="s">
        <v>54</v>
      </c>
      <c r="BO9">
        <f t="shared" si="23"/>
        <v>4</v>
      </c>
      <c r="BP9">
        <f t="shared" si="24"/>
        <v>0</v>
      </c>
      <c r="BQ9" t="s">
        <v>58</v>
      </c>
      <c r="BR9">
        <f t="shared" si="25"/>
        <v>0</v>
      </c>
      <c r="BS9" t="s">
        <v>61</v>
      </c>
      <c r="BT9">
        <f t="shared" si="26"/>
        <v>1</v>
      </c>
      <c r="BU9" t="s">
        <v>59</v>
      </c>
      <c r="BV9">
        <f t="shared" si="27"/>
        <v>0</v>
      </c>
      <c r="BW9" t="s">
        <v>57</v>
      </c>
      <c r="BX9">
        <f t="shared" si="28"/>
        <v>0</v>
      </c>
      <c r="BY9" t="s">
        <v>60</v>
      </c>
      <c r="BZ9">
        <f t="shared" si="29"/>
        <v>1</v>
      </c>
      <c r="CA9">
        <f t="shared" si="30"/>
        <v>33</v>
      </c>
    </row>
    <row r="10" spans="1:79">
      <c r="A10" t="s">
        <v>84</v>
      </c>
      <c r="B10" t="s">
        <v>63</v>
      </c>
      <c r="C10" t="s">
        <v>76</v>
      </c>
      <c r="D10" t="s">
        <v>49</v>
      </c>
      <c r="F10" t="s">
        <v>206</v>
      </c>
      <c r="H10" t="s">
        <v>85</v>
      </c>
      <c r="J10">
        <v>4</v>
      </c>
      <c r="K10">
        <v>3</v>
      </c>
      <c r="L10">
        <v>4</v>
      </c>
      <c r="M10">
        <v>1</v>
      </c>
      <c r="N10">
        <v>0</v>
      </c>
      <c r="O10">
        <v>5</v>
      </c>
      <c r="P10">
        <v>0</v>
      </c>
      <c r="Q10">
        <f t="shared" si="0"/>
        <v>1</v>
      </c>
      <c r="R10" t="s">
        <v>51</v>
      </c>
      <c r="S10">
        <f t="shared" si="1"/>
        <v>1</v>
      </c>
      <c r="T10" t="s">
        <v>52</v>
      </c>
      <c r="U10">
        <f t="shared" si="2"/>
        <v>2</v>
      </c>
      <c r="V10" t="s">
        <v>52</v>
      </c>
      <c r="W10">
        <f t="shared" si="3"/>
        <v>1</v>
      </c>
      <c r="X10" t="s">
        <v>51</v>
      </c>
      <c r="Y10">
        <f t="shared" si="4"/>
        <v>2</v>
      </c>
      <c r="Z10" t="s">
        <v>51</v>
      </c>
      <c r="AA10">
        <f t="shared" si="5"/>
        <v>2</v>
      </c>
      <c r="AB10" t="s">
        <v>52</v>
      </c>
      <c r="AC10">
        <f t="shared" si="6"/>
        <v>1</v>
      </c>
      <c r="AD10" t="s">
        <v>51</v>
      </c>
      <c r="AE10">
        <f t="shared" si="7"/>
        <v>2</v>
      </c>
      <c r="AF10" t="s">
        <v>52</v>
      </c>
      <c r="AG10">
        <f t="shared" si="8"/>
        <v>2</v>
      </c>
      <c r="AH10" t="s">
        <v>51</v>
      </c>
      <c r="AI10">
        <f t="shared" si="9"/>
        <v>1</v>
      </c>
      <c r="AJ10" t="s">
        <v>52</v>
      </c>
      <c r="AK10">
        <f t="shared" si="10"/>
        <v>15</v>
      </c>
      <c r="AL10">
        <f t="shared" si="11"/>
        <v>0</v>
      </c>
      <c r="AM10" t="s">
        <v>51</v>
      </c>
      <c r="AN10">
        <f t="shared" si="12"/>
        <v>1</v>
      </c>
      <c r="AO10" t="s">
        <v>51</v>
      </c>
      <c r="AP10">
        <f t="shared" si="13"/>
        <v>1</v>
      </c>
      <c r="AQ10" t="s">
        <v>51</v>
      </c>
      <c r="AR10">
        <f t="shared" si="31"/>
        <v>1</v>
      </c>
      <c r="AS10" t="s">
        <v>51</v>
      </c>
      <c r="AT10">
        <f t="shared" si="14"/>
        <v>2</v>
      </c>
      <c r="AU10" t="s">
        <v>52</v>
      </c>
      <c r="AV10">
        <f t="shared" si="15"/>
        <v>1</v>
      </c>
      <c r="AW10" t="s">
        <v>51</v>
      </c>
      <c r="AX10">
        <f t="shared" si="16"/>
        <v>1</v>
      </c>
      <c r="AY10" t="s">
        <v>52</v>
      </c>
      <c r="AZ10">
        <f t="shared" si="17"/>
        <v>1</v>
      </c>
      <c r="BA10" t="s">
        <v>52</v>
      </c>
      <c r="BB10">
        <f t="shared" si="18"/>
        <v>2</v>
      </c>
      <c r="BC10" t="s">
        <v>51</v>
      </c>
      <c r="BD10">
        <f t="shared" si="19"/>
        <v>2</v>
      </c>
      <c r="BE10" t="s">
        <v>52</v>
      </c>
      <c r="BF10">
        <f t="shared" si="20"/>
        <v>12</v>
      </c>
      <c r="BG10">
        <f t="shared" si="21"/>
        <v>0</v>
      </c>
      <c r="BH10" t="s">
        <v>55</v>
      </c>
      <c r="BI10">
        <f t="shared" si="22"/>
        <v>2</v>
      </c>
      <c r="BJ10" t="s">
        <v>54</v>
      </c>
      <c r="BK10">
        <f>IF(BL10="完全终止",2,0)</f>
        <v>0</v>
      </c>
      <c r="BL10" t="s">
        <v>53</v>
      </c>
      <c r="BM10">
        <f>IF(BN10="变格终止",2,0)</f>
        <v>2</v>
      </c>
      <c r="BN10" t="s">
        <v>56</v>
      </c>
      <c r="BO10">
        <f t="shared" si="23"/>
        <v>4</v>
      </c>
      <c r="BP10">
        <f t="shared" si="24"/>
        <v>0</v>
      </c>
      <c r="BQ10" t="s">
        <v>57</v>
      </c>
      <c r="BR10">
        <f t="shared" si="25"/>
        <v>1</v>
      </c>
      <c r="BS10" t="s">
        <v>58</v>
      </c>
      <c r="BT10">
        <f t="shared" si="26"/>
        <v>1</v>
      </c>
      <c r="BU10" t="s">
        <v>59</v>
      </c>
      <c r="BV10">
        <f t="shared" si="27"/>
        <v>1</v>
      </c>
      <c r="BW10" t="s">
        <v>61</v>
      </c>
      <c r="BX10">
        <f t="shared" si="28"/>
        <v>0</v>
      </c>
      <c r="BY10" t="s">
        <v>60</v>
      </c>
      <c r="BZ10">
        <f t="shared" si="29"/>
        <v>3</v>
      </c>
      <c r="CA10">
        <f t="shared" si="30"/>
        <v>34</v>
      </c>
    </row>
    <row r="11" spans="1:79">
      <c r="A11" t="s">
        <v>86</v>
      </c>
      <c r="B11" t="s">
        <v>67</v>
      </c>
      <c r="C11" t="s">
        <v>76</v>
      </c>
      <c r="D11" t="s">
        <v>49</v>
      </c>
      <c r="E11" t="s">
        <v>87</v>
      </c>
      <c r="F11" t="s">
        <v>207</v>
      </c>
      <c r="J11">
        <v>4</v>
      </c>
      <c r="K11">
        <v>1</v>
      </c>
      <c r="L11">
        <v>5</v>
      </c>
      <c r="M11">
        <v>1</v>
      </c>
      <c r="N11">
        <v>0</v>
      </c>
      <c r="O11">
        <v>4</v>
      </c>
      <c r="P11">
        <v>0</v>
      </c>
      <c r="Q11">
        <f t="shared" si="0"/>
        <v>0</v>
      </c>
      <c r="R11" t="s">
        <v>52</v>
      </c>
      <c r="S11">
        <f t="shared" si="1"/>
        <v>0</v>
      </c>
      <c r="T11" t="s">
        <v>51</v>
      </c>
      <c r="U11">
        <f t="shared" si="2"/>
        <v>0</v>
      </c>
      <c r="V11" t="s">
        <v>51</v>
      </c>
      <c r="W11">
        <f t="shared" si="3"/>
        <v>1</v>
      </c>
      <c r="X11" t="s">
        <v>51</v>
      </c>
      <c r="Y11">
        <f t="shared" si="4"/>
        <v>0</v>
      </c>
      <c r="Z11" t="s">
        <v>52</v>
      </c>
      <c r="AA11">
        <f t="shared" si="5"/>
        <v>0</v>
      </c>
      <c r="AB11" t="s">
        <v>51</v>
      </c>
      <c r="AC11">
        <f t="shared" si="6"/>
        <v>1</v>
      </c>
      <c r="AD11" t="s">
        <v>51</v>
      </c>
      <c r="AE11">
        <f t="shared" si="7"/>
        <v>2</v>
      </c>
      <c r="AF11" t="s">
        <v>52</v>
      </c>
      <c r="AG11">
        <f t="shared" si="8"/>
        <v>2</v>
      </c>
      <c r="AH11" t="s">
        <v>51</v>
      </c>
      <c r="AI11">
        <f t="shared" si="9"/>
        <v>0</v>
      </c>
      <c r="AJ11" t="s">
        <v>51</v>
      </c>
      <c r="AK11">
        <f t="shared" si="10"/>
        <v>6</v>
      </c>
      <c r="AL11">
        <f t="shared" si="11"/>
        <v>0</v>
      </c>
      <c r="AM11" t="s">
        <v>51</v>
      </c>
      <c r="AN11">
        <f t="shared" si="12"/>
        <v>0</v>
      </c>
      <c r="AO11" t="s">
        <v>52</v>
      </c>
      <c r="AP11">
        <f t="shared" si="13"/>
        <v>1</v>
      </c>
      <c r="AQ11" t="s">
        <v>51</v>
      </c>
      <c r="AR11">
        <f t="shared" si="31"/>
        <v>1</v>
      </c>
      <c r="AS11" t="s">
        <v>52</v>
      </c>
      <c r="AT11">
        <f t="shared" si="14"/>
        <v>2</v>
      </c>
      <c r="AU11" t="s">
        <v>52</v>
      </c>
      <c r="AV11">
        <f t="shared" si="15"/>
        <v>1</v>
      </c>
      <c r="AW11" t="s">
        <v>51</v>
      </c>
      <c r="AX11">
        <f t="shared" si="16"/>
        <v>1</v>
      </c>
      <c r="AY11" t="s">
        <v>52</v>
      </c>
      <c r="AZ11">
        <f t="shared" si="17"/>
        <v>1</v>
      </c>
      <c r="BA11" t="s">
        <v>52</v>
      </c>
      <c r="BB11">
        <f t="shared" si="18"/>
        <v>2</v>
      </c>
      <c r="BC11" t="s">
        <v>51</v>
      </c>
      <c r="BD11">
        <f t="shared" si="19"/>
        <v>2</v>
      </c>
      <c r="BE11" t="s">
        <v>52</v>
      </c>
      <c r="BF11">
        <f t="shared" si="20"/>
        <v>11</v>
      </c>
      <c r="BG11">
        <f t="shared" si="21"/>
        <v>2</v>
      </c>
      <c r="BH11" t="s">
        <v>53</v>
      </c>
      <c r="BI11">
        <f t="shared" si="22"/>
        <v>2</v>
      </c>
      <c r="BJ11" t="s">
        <v>54</v>
      </c>
      <c r="BK11">
        <v>1</v>
      </c>
      <c r="BL11" t="s">
        <v>56</v>
      </c>
      <c r="BM11">
        <v>1</v>
      </c>
      <c r="BN11" t="s">
        <v>55</v>
      </c>
      <c r="BO11">
        <f t="shared" si="23"/>
        <v>6</v>
      </c>
      <c r="BP11">
        <f t="shared" si="24"/>
        <v>1</v>
      </c>
      <c r="BQ11" t="s">
        <v>60</v>
      </c>
      <c r="BR11">
        <f t="shared" si="25"/>
        <v>1</v>
      </c>
      <c r="BS11" t="s">
        <v>58</v>
      </c>
      <c r="BT11">
        <f t="shared" si="26"/>
        <v>1</v>
      </c>
      <c r="BU11" t="s">
        <v>59</v>
      </c>
      <c r="BV11">
        <f t="shared" si="27"/>
        <v>1</v>
      </c>
      <c r="BW11" t="s">
        <v>61</v>
      </c>
      <c r="BX11">
        <f t="shared" si="28"/>
        <v>1</v>
      </c>
      <c r="BY11" t="s">
        <v>57</v>
      </c>
      <c r="BZ11">
        <f t="shared" si="29"/>
        <v>5</v>
      </c>
      <c r="CA11">
        <f t="shared" si="30"/>
        <v>28</v>
      </c>
    </row>
    <row r="12" spans="1:79">
      <c r="A12" t="s">
        <v>138</v>
      </c>
      <c r="B12" t="s">
        <v>63</v>
      </c>
      <c r="C12" t="s">
        <v>76</v>
      </c>
      <c r="D12" t="s">
        <v>49</v>
      </c>
      <c r="E12" t="s">
        <v>139</v>
      </c>
      <c r="F12" t="s">
        <v>208</v>
      </c>
      <c r="J12">
        <v>4</v>
      </c>
      <c r="K12">
        <v>4</v>
      </c>
      <c r="L12">
        <v>4</v>
      </c>
      <c r="M12">
        <v>1</v>
      </c>
      <c r="N12">
        <v>3</v>
      </c>
      <c r="O12">
        <v>5</v>
      </c>
      <c r="P12">
        <v>0</v>
      </c>
      <c r="Q12">
        <f t="shared" si="0"/>
        <v>0</v>
      </c>
      <c r="R12" t="s">
        <v>52</v>
      </c>
      <c r="S12">
        <f t="shared" si="1"/>
        <v>0</v>
      </c>
      <c r="T12" t="s">
        <v>51</v>
      </c>
      <c r="U12">
        <f t="shared" si="2"/>
        <v>0</v>
      </c>
      <c r="V12" t="s">
        <v>51</v>
      </c>
      <c r="W12">
        <f t="shared" si="3"/>
        <v>0</v>
      </c>
      <c r="X12" t="s">
        <v>52</v>
      </c>
      <c r="Y12">
        <f t="shared" si="4"/>
        <v>2</v>
      </c>
      <c r="Z12" t="s">
        <v>51</v>
      </c>
      <c r="AA12">
        <f t="shared" si="5"/>
        <v>2</v>
      </c>
      <c r="AB12" t="s">
        <v>52</v>
      </c>
      <c r="AC12">
        <f t="shared" si="6"/>
        <v>1</v>
      </c>
      <c r="AD12" t="s">
        <v>51</v>
      </c>
      <c r="AE12">
        <f t="shared" si="7"/>
        <v>2</v>
      </c>
      <c r="AF12" t="s">
        <v>52</v>
      </c>
      <c r="AG12">
        <f t="shared" si="8"/>
        <v>2</v>
      </c>
      <c r="AH12" t="s">
        <v>51</v>
      </c>
      <c r="AI12">
        <f t="shared" si="9"/>
        <v>1</v>
      </c>
      <c r="AJ12" t="s">
        <v>52</v>
      </c>
      <c r="AK12">
        <f t="shared" si="10"/>
        <v>10</v>
      </c>
      <c r="AL12">
        <f t="shared" si="11"/>
        <v>2</v>
      </c>
      <c r="AM12" t="s">
        <v>52</v>
      </c>
      <c r="AN12">
        <f t="shared" si="12"/>
        <v>1</v>
      </c>
      <c r="AO12" t="s">
        <v>51</v>
      </c>
      <c r="AP12">
        <f t="shared" si="13"/>
        <v>1</v>
      </c>
      <c r="AQ12" t="s">
        <v>51</v>
      </c>
      <c r="AR12">
        <f t="shared" si="31"/>
        <v>0</v>
      </c>
      <c r="AS12" t="s">
        <v>51</v>
      </c>
      <c r="AT12">
        <f t="shared" si="14"/>
        <v>0</v>
      </c>
      <c r="AU12" t="s">
        <v>51</v>
      </c>
      <c r="AV12">
        <f t="shared" si="15"/>
        <v>1</v>
      </c>
      <c r="AW12" t="s">
        <v>51</v>
      </c>
      <c r="AX12">
        <f t="shared" si="16"/>
        <v>1</v>
      </c>
      <c r="AY12" t="s">
        <v>52</v>
      </c>
      <c r="AZ12">
        <f t="shared" si="17"/>
        <v>1</v>
      </c>
      <c r="BA12" t="s">
        <v>52</v>
      </c>
      <c r="BB12">
        <f t="shared" si="18"/>
        <v>2</v>
      </c>
      <c r="BC12" t="s">
        <v>51</v>
      </c>
      <c r="BD12">
        <f t="shared" si="19"/>
        <v>2</v>
      </c>
      <c r="BE12" t="s">
        <v>52</v>
      </c>
      <c r="BF12">
        <f t="shared" si="20"/>
        <v>11</v>
      </c>
      <c r="BG12">
        <f t="shared" si="21"/>
        <v>0</v>
      </c>
      <c r="BH12" t="s">
        <v>55</v>
      </c>
      <c r="BI12">
        <f t="shared" si="22"/>
        <v>2</v>
      </c>
      <c r="BJ12" t="s">
        <v>54</v>
      </c>
      <c r="BK12">
        <f>IF(BL12="完全终止",2,0)</f>
        <v>0</v>
      </c>
      <c r="BL12" t="s">
        <v>53</v>
      </c>
      <c r="BM12">
        <f>IF(BN12="变格终止",2,0)</f>
        <v>2</v>
      </c>
      <c r="BN12" t="s">
        <v>56</v>
      </c>
      <c r="BO12">
        <f t="shared" si="23"/>
        <v>4</v>
      </c>
      <c r="BP12">
        <f t="shared" si="24"/>
        <v>1</v>
      </c>
      <c r="BQ12" t="s">
        <v>60</v>
      </c>
      <c r="BR12">
        <f t="shared" si="25"/>
        <v>0</v>
      </c>
      <c r="BS12" t="s">
        <v>57</v>
      </c>
      <c r="BT12">
        <f t="shared" si="26"/>
        <v>1</v>
      </c>
      <c r="BU12" t="s">
        <v>59</v>
      </c>
      <c r="BV12">
        <f t="shared" si="27"/>
        <v>1</v>
      </c>
      <c r="BW12" t="s">
        <v>61</v>
      </c>
      <c r="BX12">
        <f t="shared" si="28"/>
        <v>0</v>
      </c>
      <c r="BY12" t="s">
        <v>58</v>
      </c>
      <c r="BZ12">
        <f t="shared" si="29"/>
        <v>3</v>
      </c>
      <c r="CA12">
        <f t="shared" si="30"/>
        <v>28</v>
      </c>
    </row>
    <row r="13" spans="1:79">
      <c r="A13" t="s">
        <v>140</v>
      </c>
      <c r="B13" t="s">
        <v>63</v>
      </c>
      <c r="C13" t="s">
        <v>76</v>
      </c>
      <c r="D13" t="s">
        <v>49</v>
      </c>
      <c r="E13" t="s">
        <v>150</v>
      </c>
      <c r="F13" t="s">
        <v>209</v>
      </c>
      <c r="J13">
        <v>4</v>
      </c>
      <c r="K13">
        <v>3</v>
      </c>
      <c r="L13">
        <v>5</v>
      </c>
      <c r="M13">
        <v>3</v>
      </c>
      <c r="N13">
        <v>4</v>
      </c>
      <c r="O13">
        <v>5</v>
      </c>
      <c r="P13">
        <v>0</v>
      </c>
      <c r="Q13">
        <f t="shared" si="0"/>
        <v>1</v>
      </c>
      <c r="R13" t="s">
        <v>51</v>
      </c>
      <c r="S13">
        <f t="shared" si="1"/>
        <v>1</v>
      </c>
      <c r="T13" t="s">
        <v>52</v>
      </c>
      <c r="U13">
        <f t="shared" si="2"/>
        <v>2</v>
      </c>
      <c r="V13" t="s">
        <v>52</v>
      </c>
      <c r="W13">
        <f t="shared" si="3"/>
        <v>1</v>
      </c>
      <c r="X13" t="s">
        <v>51</v>
      </c>
      <c r="Y13">
        <f t="shared" si="4"/>
        <v>0</v>
      </c>
      <c r="Z13" t="s">
        <v>52</v>
      </c>
      <c r="AA13">
        <f t="shared" si="5"/>
        <v>2</v>
      </c>
      <c r="AB13" t="s">
        <v>52</v>
      </c>
      <c r="AC13">
        <f t="shared" si="6"/>
        <v>1</v>
      </c>
      <c r="AD13" t="s">
        <v>51</v>
      </c>
      <c r="AE13">
        <f t="shared" si="7"/>
        <v>2</v>
      </c>
      <c r="AF13" t="s">
        <v>52</v>
      </c>
      <c r="AG13">
        <f t="shared" si="8"/>
        <v>2</v>
      </c>
      <c r="AH13" t="s">
        <v>51</v>
      </c>
      <c r="AI13">
        <f t="shared" si="9"/>
        <v>1</v>
      </c>
      <c r="AJ13" t="s">
        <v>52</v>
      </c>
      <c r="AK13">
        <f t="shared" si="10"/>
        <v>13</v>
      </c>
      <c r="AL13">
        <f t="shared" si="11"/>
        <v>2</v>
      </c>
      <c r="AM13" t="s">
        <v>52</v>
      </c>
      <c r="AN13">
        <f t="shared" si="12"/>
        <v>1</v>
      </c>
      <c r="AO13" t="s">
        <v>51</v>
      </c>
      <c r="AP13">
        <f t="shared" si="13"/>
        <v>1</v>
      </c>
      <c r="AQ13" t="s">
        <v>51</v>
      </c>
      <c r="AR13">
        <f t="shared" si="31"/>
        <v>1</v>
      </c>
      <c r="AS13" t="s">
        <v>51</v>
      </c>
      <c r="AT13">
        <f t="shared" si="14"/>
        <v>2</v>
      </c>
      <c r="AU13" t="s">
        <v>52</v>
      </c>
      <c r="AV13">
        <f t="shared" si="15"/>
        <v>1</v>
      </c>
      <c r="AW13" t="s">
        <v>51</v>
      </c>
      <c r="AX13">
        <f t="shared" si="16"/>
        <v>1</v>
      </c>
      <c r="AY13" t="s">
        <v>52</v>
      </c>
      <c r="AZ13">
        <f t="shared" si="17"/>
        <v>1</v>
      </c>
      <c r="BA13" t="s">
        <v>52</v>
      </c>
      <c r="BB13">
        <f t="shared" si="18"/>
        <v>2</v>
      </c>
      <c r="BC13" t="s">
        <v>51</v>
      </c>
      <c r="BD13">
        <f t="shared" si="19"/>
        <v>2</v>
      </c>
      <c r="BE13" t="s">
        <v>52</v>
      </c>
      <c r="BF13">
        <f t="shared" si="20"/>
        <v>14</v>
      </c>
      <c r="BG13">
        <f t="shared" si="21"/>
        <v>2</v>
      </c>
      <c r="BH13" t="s">
        <v>53</v>
      </c>
      <c r="BI13">
        <f t="shared" si="22"/>
        <v>2</v>
      </c>
      <c r="BJ13" t="s">
        <v>54</v>
      </c>
      <c r="BK13">
        <v>1</v>
      </c>
      <c r="BL13" t="s">
        <v>56</v>
      </c>
      <c r="BM13">
        <v>1</v>
      </c>
      <c r="BN13" t="s">
        <v>55</v>
      </c>
      <c r="BO13">
        <f t="shared" si="23"/>
        <v>6</v>
      </c>
      <c r="BP13">
        <f t="shared" si="24"/>
        <v>1</v>
      </c>
      <c r="BQ13" t="s">
        <v>60</v>
      </c>
      <c r="BR13">
        <f t="shared" si="25"/>
        <v>1</v>
      </c>
      <c r="BS13" t="s">
        <v>58</v>
      </c>
      <c r="BT13">
        <f t="shared" si="26"/>
        <v>1</v>
      </c>
      <c r="BU13" t="s">
        <v>59</v>
      </c>
      <c r="BV13">
        <f t="shared" si="27"/>
        <v>1</v>
      </c>
      <c r="BW13" t="s">
        <v>61</v>
      </c>
      <c r="BX13">
        <f t="shared" si="28"/>
        <v>1</v>
      </c>
      <c r="BY13" t="s">
        <v>57</v>
      </c>
      <c r="BZ13">
        <f t="shared" si="29"/>
        <v>5</v>
      </c>
      <c r="CA13">
        <f t="shared" si="30"/>
        <v>38</v>
      </c>
    </row>
    <row r="14" spans="1:79">
      <c r="A14" t="s">
        <v>142</v>
      </c>
      <c r="B14" t="s">
        <v>63</v>
      </c>
      <c r="C14" t="s">
        <v>76</v>
      </c>
      <c r="D14" t="s">
        <v>49</v>
      </c>
      <c r="E14" t="s">
        <v>151</v>
      </c>
      <c r="F14" t="s">
        <v>203</v>
      </c>
      <c r="J14">
        <v>4</v>
      </c>
      <c r="K14">
        <v>3</v>
      </c>
      <c r="L14">
        <v>4</v>
      </c>
      <c r="M14">
        <v>2</v>
      </c>
      <c r="N14">
        <v>4</v>
      </c>
      <c r="O14">
        <v>5</v>
      </c>
      <c r="P14">
        <v>1</v>
      </c>
      <c r="Q14">
        <f t="shared" si="0"/>
        <v>1</v>
      </c>
      <c r="R14" t="s">
        <v>51</v>
      </c>
      <c r="S14">
        <f t="shared" si="1"/>
        <v>1</v>
      </c>
      <c r="T14" t="s">
        <v>52</v>
      </c>
      <c r="U14">
        <f t="shared" si="2"/>
        <v>2</v>
      </c>
      <c r="V14" t="s">
        <v>52</v>
      </c>
      <c r="W14">
        <f t="shared" si="3"/>
        <v>1</v>
      </c>
      <c r="X14" t="s">
        <v>51</v>
      </c>
      <c r="Y14">
        <f t="shared" si="4"/>
        <v>2</v>
      </c>
      <c r="Z14" t="s">
        <v>51</v>
      </c>
      <c r="AA14">
        <f t="shared" si="5"/>
        <v>2</v>
      </c>
      <c r="AB14" t="s">
        <v>52</v>
      </c>
      <c r="AC14">
        <f t="shared" si="6"/>
        <v>1</v>
      </c>
      <c r="AD14" t="s">
        <v>51</v>
      </c>
      <c r="AE14">
        <f t="shared" si="7"/>
        <v>2</v>
      </c>
      <c r="AF14" t="s">
        <v>52</v>
      </c>
      <c r="AG14">
        <f t="shared" si="8"/>
        <v>0</v>
      </c>
      <c r="AH14" t="s">
        <v>52</v>
      </c>
      <c r="AI14">
        <f t="shared" si="9"/>
        <v>1</v>
      </c>
      <c r="AJ14" t="s">
        <v>52</v>
      </c>
      <c r="AK14">
        <f t="shared" si="10"/>
        <v>13</v>
      </c>
      <c r="AL14">
        <f t="shared" si="11"/>
        <v>2</v>
      </c>
      <c r="AM14" t="s">
        <v>52</v>
      </c>
      <c r="AN14">
        <f t="shared" si="12"/>
        <v>1</v>
      </c>
      <c r="AO14" t="s">
        <v>51</v>
      </c>
      <c r="AP14">
        <f t="shared" si="13"/>
        <v>0</v>
      </c>
      <c r="AQ14" t="s">
        <v>52</v>
      </c>
      <c r="AR14">
        <f t="shared" si="31"/>
        <v>1</v>
      </c>
      <c r="AS14" t="s">
        <v>51</v>
      </c>
      <c r="AT14">
        <f t="shared" si="14"/>
        <v>2</v>
      </c>
      <c r="AU14" t="s">
        <v>52</v>
      </c>
      <c r="AV14">
        <f t="shared" si="15"/>
        <v>0</v>
      </c>
      <c r="AW14" t="s">
        <v>52</v>
      </c>
      <c r="AX14">
        <f t="shared" si="16"/>
        <v>1</v>
      </c>
      <c r="AY14" t="s">
        <v>52</v>
      </c>
      <c r="AZ14">
        <f t="shared" si="17"/>
        <v>1</v>
      </c>
      <c r="BA14" t="s">
        <v>52</v>
      </c>
      <c r="BB14">
        <f t="shared" si="18"/>
        <v>0</v>
      </c>
      <c r="BC14" t="s">
        <v>52</v>
      </c>
      <c r="BD14">
        <f t="shared" si="19"/>
        <v>2</v>
      </c>
      <c r="BE14" t="s">
        <v>52</v>
      </c>
      <c r="BF14">
        <f t="shared" si="20"/>
        <v>10</v>
      </c>
      <c r="BG14">
        <f t="shared" si="21"/>
        <v>0</v>
      </c>
      <c r="BH14" t="s">
        <v>54</v>
      </c>
      <c r="BI14">
        <f t="shared" si="22"/>
        <v>0</v>
      </c>
      <c r="BJ14" t="s">
        <v>56</v>
      </c>
      <c r="BK14">
        <f>IF(BL14="完全终止",2,0)</f>
        <v>2</v>
      </c>
      <c r="BL14" t="s">
        <v>55</v>
      </c>
      <c r="BM14">
        <f>IF(BN14="变格终止",2,0)</f>
        <v>0</v>
      </c>
      <c r="BN14" t="s">
        <v>53</v>
      </c>
      <c r="BO14">
        <f t="shared" si="23"/>
        <v>2</v>
      </c>
      <c r="BP14">
        <f t="shared" si="24"/>
        <v>0</v>
      </c>
      <c r="BQ14" t="s">
        <v>61</v>
      </c>
      <c r="BR14">
        <f t="shared" si="25"/>
        <v>1</v>
      </c>
      <c r="BS14" t="s">
        <v>58</v>
      </c>
      <c r="BT14">
        <f t="shared" si="26"/>
        <v>1</v>
      </c>
      <c r="BU14" t="s">
        <v>59</v>
      </c>
      <c r="BV14">
        <f t="shared" si="27"/>
        <v>0</v>
      </c>
      <c r="BW14" t="s">
        <v>60</v>
      </c>
      <c r="BX14">
        <f t="shared" si="28"/>
        <v>1</v>
      </c>
      <c r="BY14" t="s">
        <v>57</v>
      </c>
      <c r="BZ14">
        <f t="shared" si="29"/>
        <v>3</v>
      </c>
      <c r="CA14">
        <f t="shared" si="30"/>
        <v>28</v>
      </c>
    </row>
    <row r="15" spans="1:79">
      <c r="A15" t="s">
        <v>144</v>
      </c>
      <c r="B15" t="s">
        <v>63</v>
      </c>
      <c r="C15" t="s">
        <v>76</v>
      </c>
      <c r="D15" t="s">
        <v>49</v>
      </c>
      <c r="E15" t="s">
        <v>150</v>
      </c>
      <c r="F15" t="s">
        <v>200</v>
      </c>
      <c r="J15">
        <v>4</v>
      </c>
      <c r="K15">
        <v>4</v>
      </c>
      <c r="L15">
        <v>4</v>
      </c>
      <c r="M15">
        <v>4</v>
      </c>
      <c r="N15">
        <v>4</v>
      </c>
      <c r="O15">
        <v>5</v>
      </c>
      <c r="P15">
        <v>0</v>
      </c>
      <c r="Q15">
        <f t="shared" si="0"/>
        <v>1</v>
      </c>
      <c r="R15" t="s">
        <v>51</v>
      </c>
      <c r="S15">
        <f t="shared" si="1"/>
        <v>1</v>
      </c>
      <c r="T15" t="s">
        <v>52</v>
      </c>
      <c r="U15">
        <f t="shared" si="2"/>
        <v>2</v>
      </c>
      <c r="V15" t="s">
        <v>52</v>
      </c>
      <c r="W15">
        <f t="shared" si="3"/>
        <v>1</v>
      </c>
      <c r="X15" t="s">
        <v>51</v>
      </c>
      <c r="Y15">
        <f t="shared" si="4"/>
        <v>2</v>
      </c>
      <c r="Z15" t="s">
        <v>51</v>
      </c>
      <c r="AA15">
        <f t="shared" si="5"/>
        <v>0</v>
      </c>
      <c r="AB15" t="s">
        <v>51</v>
      </c>
      <c r="AC15">
        <f t="shared" si="6"/>
        <v>1</v>
      </c>
      <c r="AD15" t="s">
        <v>51</v>
      </c>
      <c r="AE15">
        <f t="shared" si="7"/>
        <v>2</v>
      </c>
      <c r="AF15" t="s">
        <v>52</v>
      </c>
      <c r="AG15">
        <f t="shared" si="8"/>
        <v>2</v>
      </c>
      <c r="AH15" t="s">
        <v>51</v>
      </c>
      <c r="AI15">
        <f t="shared" si="9"/>
        <v>1</v>
      </c>
      <c r="AJ15" t="s">
        <v>52</v>
      </c>
      <c r="AK15">
        <f t="shared" si="10"/>
        <v>13</v>
      </c>
      <c r="AL15">
        <f t="shared" si="11"/>
        <v>2</v>
      </c>
      <c r="AM15" t="s">
        <v>52</v>
      </c>
      <c r="AN15">
        <f t="shared" si="12"/>
        <v>0</v>
      </c>
      <c r="AO15" t="s">
        <v>52</v>
      </c>
      <c r="AP15">
        <f t="shared" si="13"/>
        <v>1</v>
      </c>
      <c r="AQ15" t="s">
        <v>51</v>
      </c>
      <c r="AR15">
        <f t="shared" si="31"/>
        <v>1</v>
      </c>
      <c r="AS15" t="s">
        <v>51</v>
      </c>
      <c r="AT15">
        <f t="shared" si="14"/>
        <v>2</v>
      </c>
      <c r="AU15" t="s">
        <v>52</v>
      </c>
      <c r="AV15">
        <f t="shared" si="15"/>
        <v>1</v>
      </c>
      <c r="AW15" t="s">
        <v>51</v>
      </c>
      <c r="AX15">
        <f t="shared" si="16"/>
        <v>1</v>
      </c>
      <c r="AY15" t="s">
        <v>52</v>
      </c>
      <c r="AZ15">
        <f t="shared" si="17"/>
        <v>1</v>
      </c>
      <c r="BA15" t="s">
        <v>52</v>
      </c>
      <c r="BB15">
        <f t="shared" si="18"/>
        <v>2</v>
      </c>
      <c r="BC15" t="s">
        <v>51</v>
      </c>
      <c r="BD15">
        <f t="shared" si="19"/>
        <v>2</v>
      </c>
      <c r="BE15" t="s">
        <v>52</v>
      </c>
      <c r="BF15">
        <f t="shared" si="20"/>
        <v>13</v>
      </c>
      <c r="BG15">
        <f t="shared" si="21"/>
        <v>0</v>
      </c>
      <c r="BH15" t="s">
        <v>56</v>
      </c>
      <c r="BI15">
        <f t="shared" si="22"/>
        <v>2</v>
      </c>
      <c r="BJ15" t="s">
        <v>54</v>
      </c>
      <c r="BK15">
        <f>IF(BL15="完全终止",2,0)</f>
        <v>2</v>
      </c>
      <c r="BL15" t="s">
        <v>55</v>
      </c>
      <c r="BM15">
        <f>IF(BN15="变格终止",2,0)</f>
        <v>0</v>
      </c>
      <c r="BN15" t="s">
        <v>53</v>
      </c>
      <c r="BO15">
        <f t="shared" si="23"/>
        <v>4</v>
      </c>
      <c r="BP15">
        <f t="shared" si="24"/>
        <v>1</v>
      </c>
      <c r="BQ15" t="s">
        <v>60</v>
      </c>
      <c r="BR15">
        <f t="shared" si="25"/>
        <v>1</v>
      </c>
      <c r="BS15" t="s">
        <v>58</v>
      </c>
      <c r="BT15">
        <f t="shared" si="26"/>
        <v>1</v>
      </c>
      <c r="BU15" t="s">
        <v>59</v>
      </c>
      <c r="BV15">
        <f t="shared" si="27"/>
        <v>1</v>
      </c>
      <c r="BW15" t="s">
        <v>61</v>
      </c>
      <c r="BX15">
        <f t="shared" si="28"/>
        <v>1</v>
      </c>
      <c r="BY15" t="s">
        <v>57</v>
      </c>
      <c r="BZ15">
        <f t="shared" si="29"/>
        <v>5</v>
      </c>
      <c r="CA15">
        <f t="shared" si="30"/>
        <v>35</v>
      </c>
    </row>
    <row r="16" spans="1:79">
      <c r="A16" t="s">
        <v>240</v>
      </c>
      <c r="B16" t="s">
        <v>63</v>
      </c>
      <c r="C16" t="s">
        <v>76</v>
      </c>
      <c r="D16" t="s">
        <v>49</v>
      </c>
      <c r="J16">
        <v>4</v>
      </c>
      <c r="K16">
        <v>4</v>
      </c>
      <c r="L16">
        <v>5</v>
      </c>
      <c r="M16">
        <v>1</v>
      </c>
      <c r="N16">
        <v>0</v>
      </c>
      <c r="O16">
        <v>3</v>
      </c>
      <c r="P16">
        <v>0</v>
      </c>
      <c r="Q16">
        <f t="shared" si="0"/>
        <v>1</v>
      </c>
      <c r="R16" t="s">
        <v>51</v>
      </c>
      <c r="S16">
        <f t="shared" si="1"/>
        <v>0</v>
      </c>
      <c r="T16" t="s">
        <v>51</v>
      </c>
      <c r="U16">
        <f t="shared" si="2"/>
        <v>0</v>
      </c>
      <c r="V16" t="s">
        <v>51</v>
      </c>
      <c r="W16">
        <f t="shared" si="3"/>
        <v>1</v>
      </c>
      <c r="X16" t="s">
        <v>51</v>
      </c>
      <c r="Y16">
        <f t="shared" si="4"/>
        <v>0</v>
      </c>
      <c r="Z16" t="s">
        <v>52</v>
      </c>
      <c r="AA16">
        <f t="shared" si="5"/>
        <v>0</v>
      </c>
      <c r="AB16" t="s">
        <v>51</v>
      </c>
      <c r="AC16">
        <f t="shared" si="6"/>
        <v>0</v>
      </c>
      <c r="AD16" t="s">
        <v>52</v>
      </c>
      <c r="AE16">
        <f t="shared" si="7"/>
        <v>0</v>
      </c>
      <c r="AF16" t="s">
        <v>51</v>
      </c>
      <c r="AG16">
        <f t="shared" si="8"/>
        <v>2</v>
      </c>
      <c r="AH16" t="s">
        <v>51</v>
      </c>
      <c r="AI16">
        <f t="shared" si="9"/>
        <v>0</v>
      </c>
      <c r="AJ16" t="s">
        <v>51</v>
      </c>
      <c r="AK16">
        <f t="shared" si="10"/>
        <v>4</v>
      </c>
      <c r="AL16">
        <f t="shared" si="11"/>
        <v>0</v>
      </c>
      <c r="AM16" t="s">
        <v>51</v>
      </c>
      <c r="AN16">
        <f t="shared" si="12"/>
        <v>0</v>
      </c>
      <c r="AO16" t="s">
        <v>52</v>
      </c>
      <c r="AP16">
        <f t="shared" si="13"/>
        <v>0</v>
      </c>
      <c r="AQ16" t="s">
        <v>52</v>
      </c>
      <c r="AR16">
        <f t="shared" si="31"/>
        <v>1</v>
      </c>
      <c r="AS16" t="s">
        <v>52</v>
      </c>
      <c r="AT16">
        <f t="shared" si="14"/>
        <v>0</v>
      </c>
      <c r="AU16" t="s">
        <v>51</v>
      </c>
      <c r="AV16">
        <f t="shared" si="15"/>
        <v>1</v>
      </c>
      <c r="AW16" t="s">
        <v>51</v>
      </c>
      <c r="AX16">
        <f t="shared" si="16"/>
        <v>0</v>
      </c>
      <c r="AY16" t="s">
        <v>51</v>
      </c>
      <c r="AZ16">
        <f t="shared" si="17"/>
        <v>1</v>
      </c>
      <c r="BA16" t="s">
        <v>52</v>
      </c>
      <c r="BB16">
        <f t="shared" si="18"/>
        <v>0</v>
      </c>
      <c r="BC16" t="s">
        <v>52</v>
      </c>
      <c r="BD16">
        <f t="shared" si="19"/>
        <v>2</v>
      </c>
      <c r="BE16" t="s">
        <v>52</v>
      </c>
      <c r="BF16">
        <f t="shared" si="20"/>
        <v>5</v>
      </c>
      <c r="BG16">
        <f t="shared" si="21"/>
        <v>2</v>
      </c>
      <c r="BH16" t="s">
        <v>53</v>
      </c>
      <c r="BI16">
        <f t="shared" si="22"/>
        <v>0</v>
      </c>
      <c r="BJ16" t="s">
        <v>56</v>
      </c>
      <c r="BK16">
        <v>2</v>
      </c>
      <c r="BL16" t="s">
        <v>55</v>
      </c>
      <c r="BM16">
        <v>0</v>
      </c>
      <c r="BN16" t="s">
        <v>53</v>
      </c>
      <c r="BO16">
        <f t="shared" si="23"/>
        <v>4</v>
      </c>
      <c r="BP16">
        <f t="shared" si="24"/>
        <v>1</v>
      </c>
      <c r="BQ16" t="s">
        <v>60</v>
      </c>
      <c r="BR16">
        <f t="shared" si="25"/>
        <v>0</v>
      </c>
      <c r="BS16" t="s">
        <v>57</v>
      </c>
      <c r="BT16">
        <f t="shared" si="26"/>
        <v>0</v>
      </c>
      <c r="BU16" t="s">
        <v>57</v>
      </c>
      <c r="BV16">
        <f t="shared" si="27"/>
        <v>0</v>
      </c>
      <c r="BW16" t="s">
        <v>60</v>
      </c>
      <c r="BX16">
        <f t="shared" si="28"/>
        <v>0</v>
      </c>
      <c r="BY16" t="s">
        <v>60</v>
      </c>
      <c r="BZ16">
        <f t="shared" si="29"/>
        <v>1</v>
      </c>
      <c r="CA16">
        <f t="shared" si="30"/>
        <v>14</v>
      </c>
    </row>
    <row r="17" spans="1:79">
      <c r="A17" t="s">
        <v>241</v>
      </c>
      <c r="B17" t="s">
        <v>63</v>
      </c>
      <c r="C17" t="s">
        <v>79</v>
      </c>
      <c r="D17" t="s">
        <v>49</v>
      </c>
      <c r="E17" t="s">
        <v>151</v>
      </c>
      <c r="J17">
        <v>4</v>
      </c>
      <c r="K17">
        <v>4</v>
      </c>
      <c r="L17">
        <v>5</v>
      </c>
      <c r="M17">
        <v>2</v>
      </c>
      <c r="N17">
        <v>2</v>
      </c>
      <c r="O17">
        <v>5</v>
      </c>
      <c r="P17">
        <v>0</v>
      </c>
      <c r="Q17">
        <f t="shared" si="0"/>
        <v>1</v>
      </c>
      <c r="R17" t="s">
        <v>51</v>
      </c>
      <c r="S17">
        <f t="shared" si="1"/>
        <v>1</v>
      </c>
      <c r="T17" t="s">
        <v>52</v>
      </c>
      <c r="U17">
        <f t="shared" si="2"/>
        <v>2</v>
      </c>
      <c r="V17" t="s">
        <v>52</v>
      </c>
      <c r="W17">
        <f t="shared" si="3"/>
        <v>0</v>
      </c>
      <c r="X17" t="s">
        <v>52</v>
      </c>
      <c r="Y17">
        <f t="shared" si="4"/>
        <v>0</v>
      </c>
      <c r="Z17" t="s">
        <v>52</v>
      </c>
      <c r="AA17">
        <f t="shared" si="5"/>
        <v>2</v>
      </c>
      <c r="AB17" t="s">
        <v>52</v>
      </c>
      <c r="AC17">
        <f t="shared" si="6"/>
        <v>0</v>
      </c>
      <c r="AD17" t="s">
        <v>52</v>
      </c>
      <c r="AE17">
        <f t="shared" si="7"/>
        <v>2</v>
      </c>
      <c r="AF17" t="s">
        <v>52</v>
      </c>
      <c r="AG17">
        <f t="shared" si="8"/>
        <v>0</v>
      </c>
      <c r="AH17" t="s">
        <v>52</v>
      </c>
      <c r="AI17">
        <f t="shared" si="9"/>
        <v>1</v>
      </c>
      <c r="AJ17" t="s">
        <v>52</v>
      </c>
      <c r="AK17">
        <f t="shared" si="10"/>
        <v>9</v>
      </c>
      <c r="AL17">
        <f t="shared" si="11"/>
        <v>2</v>
      </c>
      <c r="AM17" t="s">
        <v>52</v>
      </c>
      <c r="AN17">
        <f t="shared" si="12"/>
        <v>1</v>
      </c>
      <c r="AO17" t="s">
        <v>51</v>
      </c>
      <c r="AP17">
        <f t="shared" si="13"/>
        <v>1</v>
      </c>
      <c r="AQ17" t="s">
        <v>51</v>
      </c>
      <c r="AR17">
        <f t="shared" si="31"/>
        <v>0</v>
      </c>
      <c r="AS17" t="s">
        <v>52</v>
      </c>
      <c r="AT17">
        <f t="shared" si="14"/>
        <v>2</v>
      </c>
      <c r="AU17" t="s">
        <v>52</v>
      </c>
      <c r="AV17">
        <f t="shared" si="15"/>
        <v>1</v>
      </c>
      <c r="AW17" t="s">
        <v>51</v>
      </c>
      <c r="AX17">
        <f t="shared" si="16"/>
        <v>1</v>
      </c>
      <c r="AY17" t="s">
        <v>52</v>
      </c>
      <c r="AZ17">
        <f t="shared" si="17"/>
        <v>1</v>
      </c>
      <c r="BA17" t="s">
        <v>52</v>
      </c>
      <c r="BB17">
        <f t="shared" si="18"/>
        <v>0</v>
      </c>
      <c r="BC17" t="s">
        <v>52</v>
      </c>
      <c r="BD17">
        <f t="shared" si="19"/>
        <v>2</v>
      </c>
      <c r="BE17" t="s">
        <v>52</v>
      </c>
      <c r="BF17">
        <f t="shared" si="20"/>
        <v>11</v>
      </c>
      <c r="BG17">
        <f t="shared" si="21"/>
        <v>0</v>
      </c>
      <c r="BH17" t="s">
        <v>56</v>
      </c>
      <c r="BI17">
        <f t="shared" si="22"/>
        <v>2</v>
      </c>
      <c r="BJ17" t="s">
        <v>54</v>
      </c>
      <c r="BK17">
        <v>0</v>
      </c>
      <c r="BL17" t="s">
        <v>53</v>
      </c>
      <c r="BM17">
        <v>0</v>
      </c>
      <c r="BN17" t="s">
        <v>55</v>
      </c>
      <c r="BO17">
        <f t="shared" si="23"/>
        <v>2</v>
      </c>
      <c r="BP17">
        <f t="shared" si="24"/>
        <v>1</v>
      </c>
      <c r="BQ17" t="s">
        <v>60</v>
      </c>
      <c r="BR17">
        <f t="shared" si="25"/>
        <v>1</v>
      </c>
      <c r="BS17" t="s">
        <v>58</v>
      </c>
      <c r="BT17">
        <f t="shared" si="26"/>
        <v>1</v>
      </c>
      <c r="BU17" t="s">
        <v>59</v>
      </c>
      <c r="BV17">
        <f t="shared" si="27"/>
        <v>1</v>
      </c>
      <c r="BW17" t="s">
        <v>61</v>
      </c>
      <c r="BX17">
        <f t="shared" si="28"/>
        <v>1</v>
      </c>
      <c r="BY17" t="s">
        <v>57</v>
      </c>
      <c r="BZ17">
        <f t="shared" si="29"/>
        <v>5</v>
      </c>
      <c r="CA17">
        <f t="shared" si="30"/>
        <v>27</v>
      </c>
    </row>
    <row r="18" spans="1:79">
      <c r="A18" t="s">
        <v>242</v>
      </c>
      <c r="B18" t="s">
        <v>63</v>
      </c>
      <c r="C18" t="s">
        <v>48</v>
      </c>
      <c r="D18" t="s">
        <v>49</v>
      </c>
      <c r="E18" t="s">
        <v>64</v>
      </c>
      <c r="J18">
        <v>4</v>
      </c>
      <c r="K18">
        <v>1</v>
      </c>
      <c r="L18">
        <v>1</v>
      </c>
      <c r="M18">
        <v>1</v>
      </c>
      <c r="N18">
        <v>4</v>
      </c>
      <c r="O18">
        <v>5</v>
      </c>
      <c r="P18">
        <v>0</v>
      </c>
      <c r="Q18">
        <f t="shared" si="0"/>
        <v>1</v>
      </c>
      <c r="R18" t="s">
        <v>51</v>
      </c>
      <c r="S18">
        <f t="shared" si="1"/>
        <v>1</v>
      </c>
      <c r="T18" t="s">
        <v>52</v>
      </c>
      <c r="U18">
        <f t="shared" si="2"/>
        <v>2</v>
      </c>
      <c r="V18" t="s">
        <v>52</v>
      </c>
      <c r="W18">
        <f t="shared" si="3"/>
        <v>1</v>
      </c>
      <c r="X18" t="s">
        <v>51</v>
      </c>
      <c r="Y18">
        <f t="shared" si="4"/>
        <v>2</v>
      </c>
      <c r="Z18" t="s">
        <v>51</v>
      </c>
      <c r="AA18">
        <f t="shared" si="5"/>
        <v>2</v>
      </c>
      <c r="AB18" t="s">
        <v>52</v>
      </c>
      <c r="AC18">
        <f t="shared" si="6"/>
        <v>1</v>
      </c>
      <c r="AD18" t="s">
        <v>51</v>
      </c>
      <c r="AE18">
        <f t="shared" si="7"/>
        <v>2</v>
      </c>
      <c r="AF18" t="s">
        <v>52</v>
      </c>
      <c r="AG18">
        <f t="shared" si="8"/>
        <v>2</v>
      </c>
      <c r="AH18" t="s">
        <v>51</v>
      </c>
      <c r="AI18">
        <f t="shared" si="9"/>
        <v>1</v>
      </c>
      <c r="AJ18" t="s">
        <v>52</v>
      </c>
      <c r="AK18">
        <f t="shared" si="10"/>
        <v>15</v>
      </c>
      <c r="AL18">
        <f t="shared" si="11"/>
        <v>0</v>
      </c>
      <c r="AM18" t="s">
        <v>51</v>
      </c>
      <c r="AN18">
        <f t="shared" si="12"/>
        <v>1</v>
      </c>
      <c r="AO18" t="s">
        <v>51</v>
      </c>
      <c r="AP18">
        <f t="shared" si="13"/>
        <v>1</v>
      </c>
      <c r="AQ18" t="s">
        <v>51</v>
      </c>
      <c r="AR18">
        <f t="shared" si="31"/>
        <v>0</v>
      </c>
      <c r="AS18" t="s">
        <v>51</v>
      </c>
      <c r="AT18">
        <f t="shared" si="14"/>
        <v>2</v>
      </c>
      <c r="AU18" t="s">
        <v>52</v>
      </c>
      <c r="AV18">
        <f t="shared" si="15"/>
        <v>1</v>
      </c>
      <c r="AW18" t="s">
        <v>51</v>
      </c>
      <c r="AX18">
        <f t="shared" si="16"/>
        <v>1</v>
      </c>
      <c r="AY18" t="s">
        <v>52</v>
      </c>
      <c r="AZ18">
        <f t="shared" si="17"/>
        <v>1</v>
      </c>
      <c r="BA18" t="s">
        <v>52</v>
      </c>
      <c r="BB18">
        <f t="shared" si="18"/>
        <v>2</v>
      </c>
      <c r="BC18" t="s">
        <v>51</v>
      </c>
      <c r="BD18">
        <f t="shared" si="19"/>
        <v>2</v>
      </c>
      <c r="BE18" t="s">
        <v>52</v>
      </c>
      <c r="BF18">
        <f t="shared" si="20"/>
        <v>11</v>
      </c>
      <c r="BG18">
        <f t="shared" si="21"/>
        <v>2</v>
      </c>
      <c r="BH18" t="s">
        <v>53</v>
      </c>
      <c r="BI18">
        <f t="shared" si="22"/>
        <v>2</v>
      </c>
      <c r="BJ18" t="s">
        <v>54</v>
      </c>
      <c r="BK18">
        <v>2</v>
      </c>
      <c r="BL18" t="s">
        <v>55</v>
      </c>
      <c r="BM18">
        <v>2</v>
      </c>
      <c r="BN18" t="s">
        <v>56</v>
      </c>
      <c r="BO18">
        <f t="shared" si="23"/>
        <v>8</v>
      </c>
      <c r="BP18">
        <f t="shared" si="24"/>
        <v>1</v>
      </c>
      <c r="BQ18" t="s">
        <v>60</v>
      </c>
      <c r="BR18">
        <f t="shared" si="25"/>
        <v>1</v>
      </c>
      <c r="BS18" t="s">
        <v>58</v>
      </c>
      <c r="BT18">
        <f t="shared" si="26"/>
        <v>0</v>
      </c>
      <c r="BU18" t="s">
        <v>61</v>
      </c>
      <c r="BV18">
        <f t="shared" si="27"/>
        <v>0</v>
      </c>
      <c r="BW18" t="s">
        <v>57</v>
      </c>
      <c r="BX18">
        <f t="shared" si="28"/>
        <v>0</v>
      </c>
      <c r="BY18" t="s">
        <v>59</v>
      </c>
      <c r="BZ18">
        <f t="shared" si="29"/>
        <v>2</v>
      </c>
      <c r="CA18">
        <f t="shared" si="30"/>
        <v>36</v>
      </c>
    </row>
    <row r="19" spans="1:79">
      <c r="A19" t="s">
        <v>244</v>
      </c>
      <c r="B19" t="s">
        <v>47</v>
      </c>
      <c r="C19" t="s">
        <v>76</v>
      </c>
      <c r="D19" t="s">
        <v>49</v>
      </c>
      <c r="J19">
        <v>4</v>
      </c>
      <c r="K19">
        <v>4</v>
      </c>
      <c r="L19">
        <v>5</v>
      </c>
      <c r="M19">
        <v>4</v>
      </c>
      <c r="N19">
        <v>0</v>
      </c>
      <c r="O19">
        <v>4</v>
      </c>
      <c r="P19">
        <v>0</v>
      </c>
      <c r="Q19">
        <f t="shared" si="0"/>
        <v>0</v>
      </c>
      <c r="R19" t="s">
        <v>52</v>
      </c>
      <c r="S19">
        <f t="shared" si="1"/>
        <v>1</v>
      </c>
      <c r="T19" t="s">
        <v>52</v>
      </c>
      <c r="U19">
        <f t="shared" si="2"/>
        <v>2</v>
      </c>
      <c r="V19" t="s">
        <v>52</v>
      </c>
      <c r="W19">
        <f t="shared" si="3"/>
        <v>0</v>
      </c>
      <c r="X19" t="s">
        <v>52</v>
      </c>
      <c r="Y19">
        <f t="shared" si="4"/>
        <v>2</v>
      </c>
      <c r="Z19" t="s">
        <v>51</v>
      </c>
      <c r="AA19">
        <f t="shared" si="5"/>
        <v>0</v>
      </c>
      <c r="AB19" t="s">
        <v>51</v>
      </c>
      <c r="AC19">
        <f t="shared" si="6"/>
        <v>1</v>
      </c>
      <c r="AD19" t="s">
        <v>51</v>
      </c>
      <c r="AE19">
        <f t="shared" si="7"/>
        <v>0</v>
      </c>
      <c r="AF19" t="s">
        <v>51</v>
      </c>
      <c r="AG19">
        <f t="shared" si="8"/>
        <v>2</v>
      </c>
      <c r="AH19" t="s">
        <v>51</v>
      </c>
      <c r="AI19">
        <f t="shared" si="9"/>
        <v>1</v>
      </c>
      <c r="AJ19" t="s">
        <v>52</v>
      </c>
      <c r="AK19">
        <f t="shared" si="10"/>
        <v>9</v>
      </c>
      <c r="AL19">
        <f t="shared" si="11"/>
        <v>2</v>
      </c>
      <c r="AM19" t="s">
        <v>52</v>
      </c>
      <c r="AN19">
        <f t="shared" si="12"/>
        <v>1</v>
      </c>
      <c r="AO19" t="s">
        <v>51</v>
      </c>
      <c r="AP19">
        <f t="shared" si="13"/>
        <v>1</v>
      </c>
      <c r="AQ19" t="s">
        <v>51</v>
      </c>
      <c r="AR19">
        <f t="shared" si="31"/>
        <v>1</v>
      </c>
      <c r="AS19" t="s">
        <v>51</v>
      </c>
      <c r="AT19">
        <f t="shared" si="14"/>
        <v>0</v>
      </c>
      <c r="AU19" t="s">
        <v>51</v>
      </c>
      <c r="AV19">
        <f t="shared" si="15"/>
        <v>1</v>
      </c>
      <c r="AW19" t="s">
        <v>51</v>
      </c>
      <c r="AX19">
        <f t="shared" si="16"/>
        <v>0</v>
      </c>
      <c r="AY19" t="s">
        <v>51</v>
      </c>
      <c r="AZ19">
        <f t="shared" si="17"/>
        <v>0</v>
      </c>
      <c r="BA19" t="s">
        <v>51</v>
      </c>
      <c r="BB19">
        <f t="shared" si="18"/>
        <v>2</v>
      </c>
      <c r="BC19" t="s">
        <v>51</v>
      </c>
      <c r="BD19">
        <f t="shared" si="19"/>
        <v>2</v>
      </c>
      <c r="BE19" t="s">
        <v>52</v>
      </c>
      <c r="BF19">
        <f t="shared" si="20"/>
        <v>10</v>
      </c>
      <c r="BG19">
        <f t="shared" si="21"/>
        <v>0</v>
      </c>
      <c r="BH19" t="s">
        <v>54</v>
      </c>
      <c r="BI19">
        <f t="shared" si="22"/>
        <v>0</v>
      </c>
      <c r="BJ19" t="s">
        <v>55</v>
      </c>
      <c r="BK19">
        <v>1</v>
      </c>
      <c r="BL19" t="s">
        <v>56</v>
      </c>
      <c r="BM19">
        <v>0</v>
      </c>
      <c r="BN19" t="s">
        <v>53</v>
      </c>
      <c r="BO19">
        <f t="shared" si="23"/>
        <v>1</v>
      </c>
      <c r="BP19">
        <f t="shared" si="24"/>
        <v>0</v>
      </c>
      <c r="BQ19" t="s">
        <v>59</v>
      </c>
      <c r="BR19">
        <f t="shared" si="25"/>
        <v>0</v>
      </c>
      <c r="BS19" t="s">
        <v>61</v>
      </c>
      <c r="BT19">
        <f t="shared" si="26"/>
        <v>0</v>
      </c>
      <c r="BU19" t="s">
        <v>58</v>
      </c>
      <c r="BV19">
        <f t="shared" si="27"/>
        <v>0</v>
      </c>
      <c r="BW19" t="s">
        <v>57</v>
      </c>
      <c r="BX19">
        <f t="shared" si="28"/>
        <v>0</v>
      </c>
      <c r="BY19" t="s">
        <v>60</v>
      </c>
      <c r="BZ19">
        <f t="shared" si="29"/>
        <v>0</v>
      </c>
      <c r="CA19">
        <f t="shared" si="30"/>
        <v>20</v>
      </c>
    </row>
    <row r="20" spans="1:79">
      <c r="A20" t="s">
        <v>75</v>
      </c>
      <c r="B20" t="s">
        <v>67</v>
      </c>
      <c r="C20" t="s">
        <v>76</v>
      </c>
      <c r="D20" t="s">
        <v>49</v>
      </c>
      <c r="E20" t="s">
        <v>77</v>
      </c>
      <c r="F20" t="s">
        <v>210</v>
      </c>
      <c r="I20" s="1" t="s">
        <v>188</v>
      </c>
      <c r="J20">
        <v>5</v>
      </c>
      <c r="K20">
        <v>3</v>
      </c>
      <c r="L20">
        <v>2</v>
      </c>
      <c r="M20">
        <v>4</v>
      </c>
      <c r="N20">
        <v>4</v>
      </c>
      <c r="O20">
        <v>5</v>
      </c>
      <c r="P20">
        <v>0</v>
      </c>
      <c r="Q20">
        <f t="shared" si="0"/>
        <v>1</v>
      </c>
      <c r="R20" t="s">
        <v>51</v>
      </c>
      <c r="S20">
        <f t="shared" si="1"/>
        <v>1</v>
      </c>
      <c r="T20" t="s">
        <v>52</v>
      </c>
      <c r="U20">
        <f t="shared" si="2"/>
        <v>0</v>
      </c>
      <c r="V20" t="s">
        <v>51</v>
      </c>
      <c r="W20">
        <f t="shared" si="3"/>
        <v>1</v>
      </c>
      <c r="X20" t="s">
        <v>51</v>
      </c>
      <c r="Y20">
        <f t="shared" si="4"/>
        <v>2</v>
      </c>
      <c r="Z20" t="s">
        <v>51</v>
      </c>
      <c r="AA20">
        <f t="shared" si="5"/>
        <v>2</v>
      </c>
      <c r="AB20" t="s">
        <v>52</v>
      </c>
      <c r="AC20">
        <f t="shared" si="6"/>
        <v>1</v>
      </c>
      <c r="AD20" t="s">
        <v>51</v>
      </c>
      <c r="AE20">
        <f t="shared" si="7"/>
        <v>2</v>
      </c>
      <c r="AF20" t="s">
        <v>52</v>
      </c>
      <c r="AG20">
        <f t="shared" si="8"/>
        <v>2</v>
      </c>
      <c r="AH20" t="s">
        <v>51</v>
      </c>
      <c r="AI20">
        <f t="shared" si="9"/>
        <v>1</v>
      </c>
      <c r="AJ20" t="s">
        <v>52</v>
      </c>
      <c r="AK20">
        <f t="shared" si="10"/>
        <v>13</v>
      </c>
      <c r="AL20">
        <f t="shared" si="11"/>
        <v>2</v>
      </c>
      <c r="AM20" t="s">
        <v>52</v>
      </c>
      <c r="AN20">
        <f t="shared" si="12"/>
        <v>1</v>
      </c>
      <c r="AO20" t="s">
        <v>51</v>
      </c>
      <c r="AP20">
        <f t="shared" si="13"/>
        <v>1</v>
      </c>
      <c r="AQ20" t="s">
        <v>51</v>
      </c>
      <c r="AR20">
        <f t="shared" si="31"/>
        <v>1</v>
      </c>
      <c r="AS20" t="s">
        <v>51</v>
      </c>
      <c r="AT20">
        <f t="shared" si="14"/>
        <v>2</v>
      </c>
      <c r="AU20" t="s">
        <v>52</v>
      </c>
      <c r="AV20">
        <f t="shared" si="15"/>
        <v>1</v>
      </c>
      <c r="AW20" t="s">
        <v>51</v>
      </c>
      <c r="AX20">
        <f t="shared" si="16"/>
        <v>1</v>
      </c>
      <c r="AY20" t="s">
        <v>52</v>
      </c>
      <c r="AZ20">
        <f t="shared" si="17"/>
        <v>1</v>
      </c>
      <c r="BA20" t="s">
        <v>52</v>
      </c>
      <c r="BB20">
        <f t="shared" si="18"/>
        <v>2</v>
      </c>
      <c r="BC20" t="s">
        <v>51</v>
      </c>
      <c r="BD20">
        <f t="shared" si="19"/>
        <v>2</v>
      </c>
      <c r="BE20" t="s">
        <v>52</v>
      </c>
      <c r="BF20">
        <f t="shared" si="20"/>
        <v>14</v>
      </c>
      <c r="BG20">
        <f t="shared" si="21"/>
        <v>0</v>
      </c>
      <c r="BH20" t="s">
        <v>55</v>
      </c>
      <c r="BI20">
        <f t="shared" si="22"/>
        <v>2</v>
      </c>
      <c r="BJ20" t="s">
        <v>54</v>
      </c>
      <c r="BK20">
        <v>1</v>
      </c>
      <c r="BL20" t="s">
        <v>56</v>
      </c>
      <c r="BM20">
        <v>1</v>
      </c>
      <c r="BN20" t="s">
        <v>55</v>
      </c>
      <c r="BO20">
        <f t="shared" si="23"/>
        <v>4</v>
      </c>
      <c r="BP20">
        <f t="shared" si="24"/>
        <v>1</v>
      </c>
      <c r="BQ20" t="s">
        <v>60</v>
      </c>
      <c r="BR20">
        <f t="shared" si="25"/>
        <v>1</v>
      </c>
      <c r="BS20" t="s">
        <v>58</v>
      </c>
      <c r="BT20">
        <f t="shared" si="26"/>
        <v>1</v>
      </c>
      <c r="BU20" t="s">
        <v>59</v>
      </c>
      <c r="BV20">
        <f t="shared" si="27"/>
        <v>1</v>
      </c>
      <c r="BW20" t="s">
        <v>61</v>
      </c>
      <c r="BX20">
        <f t="shared" si="28"/>
        <v>1</v>
      </c>
      <c r="BY20" t="s">
        <v>57</v>
      </c>
      <c r="BZ20">
        <f t="shared" si="29"/>
        <v>5</v>
      </c>
      <c r="CA20">
        <f t="shared" si="30"/>
        <v>36</v>
      </c>
    </row>
    <row r="21" spans="1:79">
      <c r="A21" t="s">
        <v>78</v>
      </c>
      <c r="B21" t="s">
        <v>67</v>
      </c>
      <c r="C21" t="s">
        <v>79</v>
      </c>
      <c r="D21" t="s">
        <v>49</v>
      </c>
      <c r="E21" t="s">
        <v>80</v>
      </c>
      <c r="F21" t="s">
        <v>211</v>
      </c>
      <c r="I21" s="1" t="s">
        <v>188</v>
      </c>
      <c r="J21">
        <v>5</v>
      </c>
      <c r="K21">
        <v>4</v>
      </c>
      <c r="L21">
        <v>5</v>
      </c>
      <c r="M21">
        <v>3</v>
      </c>
      <c r="N21">
        <v>0</v>
      </c>
      <c r="O21">
        <v>1</v>
      </c>
      <c r="P21">
        <v>0</v>
      </c>
      <c r="Q21">
        <f t="shared" si="0"/>
        <v>1</v>
      </c>
      <c r="R21" t="s">
        <v>51</v>
      </c>
      <c r="S21">
        <f t="shared" si="1"/>
        <v>1</v>
      </c>
      <c r="T21" t="s">
        <v>52</v>
      </c>
      <c r="U21">
        <f t="shared" si="2"/>
        <v>2</v>
      </c>
      <c r="V21" t="s">
        <v>52</v>
      </c>
      <c r="W21">
        <f t="shared" si="3"/>
        <v>1</v>
      </c>
      <c r="X21" t="s">
        <v>51</v>
      </c>
      <c r="Y21">
        <f t="shared" si="4"/>
        <v>2</v>
      </c>
      <c r="Z21" t="s">
        <v>51</v>
      </c>
      <c r="AA21">
        <f t="shared" si="5"/>
        <v>2</v>
      </c>
      <c r="AB21" t="s">
        <v>52</v>
      </c>
      <c r="AC21">
        <f t="shared" si="6"/>
        <v>1</v>
      </c>
      <c r="AD21" t="s">
        <v>51</v>
      </c>
      <c r="AE21">
        <f t="shared" si="7"/>
        <v>0</v>
      </c>
      <c r="AF21" t="s">
        <v>51</v>
      </c>
      <c r="AG21">
        <f t="shared" si="8"/>
        <v>2</v>
      </c>
      <c r="AH21" t="s">
        <v>51</v>
      </c>
      <c r="AI21">
        <f t="shared" si="9"/>
        <v>1</v>
      </c>
      <c r="AJ21" t="s">
        <v>52</v>
      </c>
      <c r="AK21">
        <f t="shared" si="10"/>
        <v>13</v>
      </c>
      <c r="AL21">
        <f t="shared" si="11"/>
        <v>2</v>
      </c>
      <c r="AM21" t="s">
        <v>52</v>
      </c>
      <c r="AN21">
        <f t="shared" si="12"/>
        <v>1</v>
      </c>
      <c r="AO21" t="s">
        <v>51</v>
      </c>
      <c r="AP21">
        <f t="shared" si="13"/>
        <v>1</v>
      </c>
      <c r="AQ21" t="s">
        <v>51</v>
      </c>
      <c r="AR21">
        <f t="shared" si="31"/>
        <v>1</v>
      </c>
      <c r="AS21" t="s">
        <v>52</v>
      </c>
      <c r="AT21">
        <f t="shared" si="14"/>
        <v>2</v>
      </c>
      <c r="AU21" t="s">
        <v>52</v>
      </c>
      <c r="AV21">
        <f t="shared" si="15"/>
        <v>0</v>
      </c>
      <c r="AW21" t="s">
        <v>52</v>
      </c>
      <c r="AX21">
        <f t="shared" si="16"/>
        <v>1</v>
      </c>
      <c r="AY21" t="s">
        <v>52</v>
      </c>
      <c r="AZ21">
        <f t="shared" si="17"/>
        <v>0</v>
      </c>
      <c r="BA21" t="s">
        <v>51</v>
      </c>
      <c r="BB21">
        <f t="shared" si="18"/>
        <v>0</v>
      </c>
      <c r="BC21" t="s">
        <v>52</v>
      </c>
      <c r="BD21">
        <f t="shared" si="19"/>
        <v>2</v>
      </c>
      <c r="BE21" t="s">
        <v>52</v>
      </c>
      <c r="BF21">
        <f t="shared" si="20"/>
        <v>10</v>
      </c>
      <c r="BG21">
        <f t="shared" si="21"/>
        <v>0</v>
      </c>
      <c r="BH21" t="s">
        <v>54</v>
      </c>
      <c r="BI21">
        <f t="shared" si="22"/>
        <v>0</v>
      </c>
      <c r="BJ21" t="s">
        <v>55</v>
      </c>
      <c r="BK21">
        <v>1</v>
      </c>
      <c r="BL21" t="s">
        <v>56</v>
      </c>
      <c r="BM21">
        <f>IF(BN21="变格终止",2,0)</f>
        <v>0</v>
      </c>
      <c r="BN21" t="s">
        <v>53</v>
      </c>
      <c r="BO21">
        <f t="shared" si="23"/>
        <v>1</v>
      </c>
      <c r="BP21">
        <f t="shared" si="24"/>
        <v>1</v>
      </c>
      <c r="BQ21" t="s">
        <v>60</v>
      </c>
      <c r="BR21">
        <f t="shared" si="25"/>
        <v>1</v>
      </c>
      <c r="BS21" t="s">
        <v>58</v>
      </c>
      <c r="BT21">
        <f t="shared" si="26"/>
        <v>1</v>
      </c>
      <c r="BU21" t="s">
        <v>59</v>
      </c>
      <c r="BV21">
        <f t="shared" si="27"/>
        <v>0</v>
      </c>
      <c r="BW21" t="s">
        <v>57</v>
      </c>
      <c r="BX21">
        <f t="shared" si="28"/>
        <v>0</v>
      </c>
      <c r="BY21" t="s">
        <v>61</v>
      </c>
      <c r="BZ21">
        <f t="shared" si="29"/>
        <v>3</v>
      </c>
      <c r="CA21">
        <f t="shared" si="30"/>
        <v>27</v>
      </c>
    </row>
    <row r="22" spans="1:79">
      <c r="A22" t="s">
        <v>94</v>
      </c>
      <c r="B22" t="s">
        <v>63</v>
      </c>
      <c r="C22" t="s">
        <v>76</v>
      </c>
      <c r="D22" t="s">
        <v>47</v>
      </c>
      <c r="F22" t="s">
        <v>212</v>
      </c>
      <c r="H22" t="s">
        <v>95</v>
      </c>
      <c r="J22">
        <v>5</v>
      </c>
      <c r="K22">
        <v>2</v>
      </c>
      <c r="L22">
        <v>4</v>
      </c>
      <c r="M22">
        <v>1</v>
      </c>
      <c r="N22">
        <v>1</v>
      </c>
      <c r="O22">
        <v>3</v>
      </c>
      <c r="P22">
        <v>0</v>
      </c>
      <c r="Q22">
        <f t="shared" si="0"/>
        <v>1</v>
      </c>
      <c r="R22" t="s">
        <v>51</v>
      </c>
      <c r="S22">
        <f t="shared" si="1"/>
        <v>1</v>
      </c>
      <c r="T22" t="s">
        <v>52</v>
      </c>
      <c r="U22">
        <f t="shared" si="2"/>
        <v>2</v>
      </c>
      <c r="V22" t="s">
        <v>52</v>
      </c>
      <c r="W22">
        <f t="shared" si="3"/>
        <v>1</v>
      </c>
      <c r="X22" t="s">
        <v>51</v>
      </c>
      <c r="Y22">
        <f t="shared" si="4"/>
        <v>0</v>
      </c>
      <c r="Z22" t="s">
        <v>52</v>
      </c>
      <c r="AA22">
        <f t="shared" si="5"/>
        <v>2</v>
      </c>
      <c r="AB22" t="s">
        <v>52</v>
      </c>
      <c r="AC22">
        <f t="shared" si="6"/>
        <v>1</v>
      </c>
      <c r="AD22" t="s">
        <v>51</v>
      </c>
      <c r="AE22">
        <f t="shared" si="7"/>
        <v>2</v>
      </c>
      <c r="AF22" t="s">
        <v>52</v>
      </c>
      <c r="AG22">
        <f t="shared" si="8"/>
        <v>0</v>
      </c>
      <c r="AH22" t="s">
        <v>52</v>
      </c>
      <c r="AI22">
        <f t="shared" si="9"/>
        <v>1</v>
      </c>
      <c r="AJ22" t="s">
        <v>52</v>
      </c>
      <c r="AK22">
        <f t="shared" si="10"/>
        <v>11</v>
      </c>
      <c r="AL22">
        <f t="shared" si="11"/>
        <v>0</v>
      </c>
      <c r="AM22" t="s">
        <v>51</v>
      </c>
      <c r="AN22">
        <f t="shared" si="12"/>
        <v>1</v>
      </c>
      <c r="AO22" t="s">
        <v>51</v>
      </c>
      <c r="AP22">
        <f t="shared" si="13"/>
        <v>1</v>
      </c>
      <c r="AQ22" t="s">
        <v>51</v>
      </c>
      <c r="AR22">
        <f t="shared" si="31"/>
        <v>0</v>
      </c>
      <c r="AS22" t="s">
        <v>51</v>
      </c>
      <c r="AT22">
        <f t="shared" si="14"/>
        <v>2</v>
      </c>
      <c r="AU22" t="s">
        <v>52</v>
      </c>
      <c r="AV22">
        <f t="shared" si="15"/>
        <v>1</v>
      </c>
      <c r="AW22" t="s">
        <v>51</v>
      </c>
      <c r="AX22">
        <f t="shared" si="16"/>
        <v>1</v>
      </c>
      <c r="AY22" t="s">
        <v>52</v>
      </c>
      <c r="AZ22">
        <f t="shared" si="17"/>
        <v>1</v>
      </c>
      <c r="BA22" t="s">
        <v>52</v>
      </c>
      <c r="BB22">
        <f t="shared" si="18"/>
        <v>2</v>
      </c>
      <c r="BC22" t="s">
        <v>51</v>
      </c>
      <c r="BD22">
        <f t="shared" si="19"/>
        <v>2</v>
      </c>
      <c r="BE22" t="s">
        <v>52</v>
      </c>
      <c r="BF22">
        <f t="shared" si="20"/>
        <v>11</v>
      </c>
      <c r="BG22">
        <f t="shared" si="21"/>
        <v>2</v>
      </c>
      <c r="BH22" t="s">
        <v>53</v>
      </c>
      <c r="BI22">
        <f t="shared" si="22"/>
        <v>2</v>
      </c>
      <c r="BJ22" t="s">
        <v>54</v>
      </c>
      <c r="BK22">
        <v>1</v>
      </c>
      <c r="BL22" t="s">
        <v>56</v>
      </c>
      <c r="BM22">
        <v>1</v>
      </c>
      <c r="BN22" t="s">
        <v>55</v>
      </c>
      <c r="BO22">
        <f t="shared" si="23"/>
        <v>6</v>
      </c>
      <c r="BP22">
        <f t="shared" si="24"/>
        <v>0</v>
      </c>
      <c r="BQ22" t="s">
        <v>57</v>
      </c>
      <c r="BR22">
        <f t="shared" si="25"/>
        <v>1</v>
      </c>
      <c r="BS22" t="s">
        <v>58</v>
      </c>
      <c r="BT22">
        <f t="shared" si="26"/>
        <v>1</v>
      </c>
      <c r="BU22" t="s">
        <v>59</v>
      </c>
      <c r="BV22">
        <f t="shared" si="27"/>
        <v>1</v>
      </c>
      <c r="BW22" t="s">
        <v>61</v>
      </c>
      <c r="BX22">
        <f t="shared" si="28"/>
        <v>0</v>
      </c>
      <c r="BY22" t="s">
        <v>60</v>
      </c>
      <c r="BZ22">
        <f t="shared" si="29"/>
        <v>3</v>
      </c>
      <c r="CA22">
        <f t="shared" si="30"/>
        <v>31</v>
      </c>
    </row>
    <row r="23" spans="1:79">
      <c r="A23" t="s">
        <v>96</v>
      </c>
      <c r="B23" t="s">
        <v>63</v>
      </c>
      <c r="C23" t="s">
        <v>48</v>
      </c>
      <c r="D23" t="s">
        <v>97</v>
      </c>
      <c r="F23" t="s">
        <v>213</v>
      </c>
      <c r="G23" t="s">
        <v>98</v>
      </c>
      <c r="I23" t="s">
        <v>193</v>
      </c>
      <c r="J23">
        <v>5</v>
      </c>
      <c r="K23">
        <v>3</v>
      </c>
      <c r="L23">
        <v>4</v>
      </c>
      <c r="M23">
        <v>3</v>
      </c>
      <c r="N23">
        <v>4</v>
      </c>
      <c r="O23">
        <v>5</v>
      </c>
      <c r="P23">
        <v>0</v>
      </c>
      <c r="Q23">
        <f t="shared" si="0"/>
        <v>1</v>
      </c>
      <c r="R23" t="s">
        <v>51</v>
      </c>
      <c r="S23">
        <f t="shared" si="1"/>
        <v>1</v>
      </c>
      <c r="T23" t="s">
        <v>52</v>
      </c>
      <c r="U23">
        <f t="shared" si="2"/>
        <v>2</v>
      </c>
      <c r="V23" t="s">
        <v>52</v>
      </c>
      <c r="W23">
        <f t="shared" si="3"/>
        <v>1</v>
      </c>
      <c r="X23" t="s">
        <v>51</v>
      </c>
      <c r="Y23">
        <f t="shared" si="4"/>
        <v>2</v>
      </c>
      <c r="Z23" t="s">
        <v>51</v>
      </c>
      <c r="AA23">
        <f t="shared" si="5"/>
        <v>2</v>
      </c>
      <c r="AB23" t="s">
        <v>52</v>
      </c>
      <c r="AC23">
        <f t="shared" si="6"/>
        <v>1</v>
      </c>
      <c r="AD23" t="s">
        <v>51</v>
      </c>
      <c r="AE23">
        <f t="shared" si="7"/>
        <v>2</v>
      </c>
      <c r="AF23" t="s">
        <v>52</v>
      </c>
      <c r="AG23">
        <f t="shared" si="8"/>
        <v>2</v>
      </c>
      <c r="AH23" t="s">
        <v>51</v>
      </c>
      <c r="AI23">
        <f t="shared" si="9"/>
        <v>1</v>
      </c>
      <c r="AJ23" t="s">
        <v>52</v>
      </c>
      <c r="AK23">
        <f t="shared" si="10"/>
        <v>15</v>
      </c>
      <c r="AL23">
        <f t="shared" si="11"/>
        <v>0</v>
      </c>
      <c r="AM23" t="s">
        <v>51</v>
      </c>
      <c r="AN23">
        <f t="shared" si="12"/>
        <v>1</v>
      </c>
      <c r="AO23" t="s">
        <v>51</v>
      </c>
      <c r="AP23">
        <f t="shared" si="13"/>
        <v>1</v>
      </c>
      <c r="AQ23" t="s">
        <v>51</v>
      </c>
      <c r="AR23">
        <f t="shared" si="31"/>
        <v>1</v>
      </c>
      <c r="AS23" t="s">
        <v>51</v>
      </c>
      <c r="AT23">
        <f t="shared" si="14"/>
        <v>0</v>
      </c>
      <c r="AU23" t="s">
        <v>51</v>
      </c>
      <c r="AV23">
        <f t="shared" si="15"/>
        <v>1</v>
      </c>
      <c r="AW23" t="s">
        <v>51</v>
      </c>
      <c r="AX23">
        <f t="shared" si="16"/>
        <v>1</v>
      </c>
      <c r="AY23" t="s">
        <v>52</v>
      </c>
      <c r="AZ23">
        <f t="shared" si="17"/>
        <v>1</v>
      </c>
      <c r="BA23" t="s">
        <v>52</v>
      </c>
      <c r="BB23">
        <f t="shared" si="18"/>
        <v>2</v>
      </c>
      <c r="BC23" t="s">
        <v>51</v>
      </c>
      <c r="BD23">
        <f t="shared" si="19"/>
        <v>0</v>
      </c>
      <c r="BE23" t="s">
        <v>51</v>
      </c>
      <c r="BF23">
        <f t="shared" si="20"/>
        <v>8</v>
      </c>
      <c r="BG23">
        <f t="shared" si="21"/>
        <v>2</v>
      </c>
      <c r="BH23" t="s">
        <v>53</v>
      </c>
      <c r="BI23">
        <f t="shared" si="22"/>
        <v>2</v>
      </c>
      <c r="BJ23" t="s">
        <v>54</v>
      </c>
      <c r="BK23">
        <f t="shared" ref="BK23:BK28" si="32">IF(BL23="完全终止",2,0)</f>
        <v>2</v>
      </c>
      <c r="BL23" t="s">
        <v>55</v>
      </c>
      <c r="BM23">
        <f>IF(BN23="变格终止",2,0)</f>
        <v>2</v>
      </c>
      <c r="BN23" t="s">
        <v>56</v>
      </c>
      <c r="BO23">
        <f t="shared" si="23"/>
        <v>8</v>
      </c>
      <c r="BP23">
        <f t="shared" si="24"/>
        <v>1</v>
      </c>
      <c r="BQ23" t="s">
        <v>60</v>
      </c>
      <c r="BR23">
        <f t="shared" si="25"/>
        <v>1</v>
      </c>
      <c r="BS23" t="s">
        <v>58</v>
      </c>
      <c r="BT23">
        <f t="shared" si="26"/>
        <v>1</v>
      </c>
      <c r="BU23" t="s">
        <v>59</v>
      </c>
      <c r="BV23">
        <f t="shared" si="27"/>
        <v>1</v>
      </c>
      <c r="BW23" t="s">
        <v>61</v>
      </c>
      <c r="BX23">
        <f t="shared" si="28"/>
        <v>1</v>
      </c>
      <c r="BY23" t="s">
        <v>57</v>
      </c>
      <c r="BZ23">
        <f t="shared" si="29"/>
        <v>5</v>
      </c>
      <c r="CA23">
        <f t="shared" si="30"/>
        <v>36</v>
      </c>
    </row>
    <row r="24" spans="1:79">
      <c r="A24" t="s">
        <v>99</v>
      </c>
      <c r="B24" t="s">
        <v>63</v>
      </c>
      <c r="C24" t="s">
        <v>48</v>
      </c>
      <c r="D24" t="s">
        <v>97</v>
      </c>
      <c r="F24" t="s">
        <v>214</v>
      </c>
      <c r="G24" t="s">
        <v>98</v>
      </c>
      <c r="J24">
        <v>5</v>
      </c>
      <c r="K24">
        <v>4</v>
      </c>
      <c r="L24">
        <v>3</v>
      </c>
      <c r="M24">
        <v>3</v>
      </c>
      <c r="N24">
        <v>3</v>
      </c>
      <c r="O24">
        <v>5</v>
      </c>
      <c r="P24">
        <v>0</v>
      </c>
      <c r="Q24">
        <f t="shared" si="0"/>
        <v>1</v>
      </c>
      <c r="R24" t="s">
        <v>51</v>
      </c>
      <c r="S24">
        <f t="shared" si="1"/>
        <v>1</v>
      </c>
      <c r="T24" t="s">
        <v>52</v>
      </c>
      <c r="U24">
        <f t="shared" si="2"/>
        <v>2</v>
      </c>
      <c r="V24" t="s">
        <v>52</v>
      </c>
      <c r="W24">
        <f t="shared" si="3"/>
        <v>1</v>
      </c>
      <c r="X24" t="s">
        <v>51</v>
      </c>
      <c r="Y24">
        <f t="shared" si="4"/>
        <v>2</v>
      </c>
      <c r="Z24" t="s">
        <v>51</v>
      </c>
      <c r="AA24">
        <f t="shared" si="5"/>
        <v>2</v>
      </c>
      <c r="AB24" t="s">
        <v>52</v>
      </c>
      <c r="AC24">
        <f t="shared" si="6"/>
        <v>1</v>
      </c>
      <c r="AD24" t="s">
        <v>51</v>
      </c>
      <c r="AE24">
        <f t="shared" si="7"/>
        <v>2</v>
      </c>
      <c r="AF24" t="s">
        <v>52</v>
      </c>
      <c r="AG24">
        <f t="shared" si="8"/>
        <v>0</v>
      </c>
      <c r="AH24" t="s">
        <v>52</v>
      </c>
      <c r="AI24">
        <f t="shared" si="9"/>
        <v>1</v>
      </c>
      <c r="AJ24" t="s">
        <v>52</v>
      </c>
      <c r="AK24">
        <f t="shared" si="10"/>
        <v>13</v>
      </c>
      <c r="AL24">
        <f t="shared" si="11"/>
        <v>2</v>
      </c>
      <c r="AM24" t="s">
        <v>52</v>
      </c>
      <c r="AN24">
        <f t="shared" si="12"/>
        <v>1</v>
      </c>
      <c r="AO24" t="s">
        <v>51</v>
      </c>
      <c r="AP24">
        <f t="shared" si="13"/>
        <v>1</v>
      </c>
      <c r="AQ24" t="s">
        <v>51</v>
      </c>
      <c r="AR24">
        <f t="shared" si="31"/>
        <v>1</v>
      </c>
      <c r="AS24" t="s">
        <v>51</v>
      </c>
      <c r="AT24">
        <f t="shared" si="14"/>
        <v>2</v>
      </c>
      <c r="AU24" t="s">
        <v>52</v>
      </c>
      <c r="AV24">
        <f t="shared" si="15"/>
        <v>1</v>
      </c>
      <c r="AW24" t="s">
        <v>51</v>
      </c>
      <c r="AX24">
        <f t="shared" si="16"/>
        <v>1</v>
      </c>
      <c r="AY24" t="s">
        <v>52</v>
      </c>
      <c r="AZ24">
        <f t="shared" si="17"/>
        <v>1</v>
      </c>
      <c r="BA24" t="s">
        <v>52</v>
      </c>
      <c r="BB24">
        <f t="shared" si="18"/>
        <v>0</v>
      </c>
      <c r="BC24" t="s">
        <v>52</v>
      </c>
      <c r="BD24">
        <f t="shared" si="19"/>
        <v>2</v>
      </c>
      <c r="BE24" t="s">
        <v>52</v>
      </c>
      <c r="BF24">
        <f t="shared" si="20"/>
        <v>12</v>
      </c>
      <c r="BG24">
        <f t="shared" si="21"/>
        <v>0</v>
      </c>
      <c r="BH24" t="s">
        <v>56</v>
      </c>
      <c r="BI24">
        <f t="shared" si="22"/>
        <v>2</v>
      </c>
      <c r="BJ24" t="s">
        <v>54</v>
      </c>
      <c r="BK24">
        <f t="shared" si="32"/>
        <v>0</v>
      </c>
      <c r="BL24" t="s">
        <v>53</v>
      </c>
      <c r="BM24">
        <v>1</v>
      </c>
      <c r="BN24" t="s">
        <v>55</v>
      </c>
      <c r="BO24">
        <f t="shared" si="23"/>
        <v>3</v>
      </c>
      <c r="BP24">
        <f t="shared" si="24"/>
        <v>1</v>
      </c>
      <c r="BQ24" t="s">
        <v>60</v>
      </c>
      <c r="BR24">
        <f t="shared" si="25"/>
        <v>0</v>
      </c>
      <c r="BS24" t="s">
        <v>57</v>
      </c>
      <c r="BT24">
        <f t="shared" si="26"/>
        <v>1</v>
      </c>
      <c r="BU24" t="s">
        <v>59</v>
      </c>
      <c r="BV24">
        <f t="shared" si="27"/>
        <v>0</v>
      </c>
      <c r="BW24" t="s">
        <v>58</v>
      </c>
      <c r="BX24">
        <f t="shared" si="28"/>
        <v>0</v>
      </c>
      <c r="BY24" t="s">
        <v>61</v>
      </c>
      <c r="BZ24">
        <f t="shared" si="29"/>
        <v>2</v>
      </c>
      <c r="CA24">
        <f t="shared" si="30"/>
        <v>30</v>
      </c>
    </row>
    <row r="25" spans="1:79">
      <c r="A25" t="s">
        <v>101</v>
      </c>
      <c r="B25" t="s">
        <v>67</v>
      </c>
      <c r="C25" t="s">
        <v>76</v>
      </c>
      <c r="D25" t="s">
        <v>97</v>
      </c>
      <c r="F25" t="s">
        <v>215</v>
      </c>
      <c r="G25" t="s">
        <v>98</v>
      </c>
      <c r="J25">
        <v>5</v>
      </c>
      <c r="K25">
        <v>3</v>
      </c>
      <c r="L25">
        <v>5</v>
      </c>
      <c r="M25">
        <v>3</v>
      </c>
      <c r="N25">
        <v>5</v>
      </c>
      <c r="O25">
        <v>5</v>
      </c>
      <c r="P25">
        <v>0</v>
      </c>
      <c r="Q25">
        <f t="shared" si="0"/>
        <v>1</v>
      </c>
      <c r="R25" t="s">
        <v>51</v>
      </c>
      <c r="S25">
        <f t="shared" si="1"/>
        <v>1</v>
      </c>
      <c r="T25" t="s">
        <v>52</v>
      </c>
      <c r="U25">
        <f t="shared" si="2"/>
        <v>2</v>
      </c>
      <c r="V25" t="s">
        <v>52</v>
      </c>
      <c r="W25">
        <f t="shared" si="3"/>
        <v>1</v>
      </c>
      <c r="X25" t="s">
        <v>51</v>
      </c>
      <c r="Y25">
        <f t="shared" si="4"/>
        <v>2</v>
      </c>
      <c r="Z25" t="s">
        <v>51</v>
      </c>
      <c r="AA25">
        <f t="shared" si="5"/>
        <v>2</v>
      </c>
      <c r="AB25" t="s">
        <v>52</v>
      </c>
      <c r="AC25">
        <f t="shared" si="6"/>
        <v>1</v>
      </c>
      <c r="AD25" t="s">
        <v>51</v>
      </c>
      <c r="AE25">
        <f t="shared" si="7"/>
        <v>2</v>
      </c>
      <c r="AF25" t="s">
        <v>52</v>
      </c>
      <c r="AG25">
        <f t="shared" si="8"/>
        <v>2</v>
      </c>
      <c r="AH25" t="s">
        <v>51</v>
      </c>
      <c r="AI25">
        <f t="shared" si="9"/>
        <v>1</v>
      </c>
      <c r="AJ25" t="s">
        <v>52</v>
      </c>
      <c r="AK25">
        <f t="shared" si="10"/>
        <v>15</v>
      </c>
      <c r="AL25">
        <f t="shared" si="11"/>
        <v>2</v>
      </c>
      <c r="AM25" t="s">
        <v>52</v>
      </c>
      <c r="AN25">
        <f t="shared" si="12"/>
        <v>1</v>
      </c>
      <c r="AO25" t="s">
        <v>51</v>
      </c>
      <c r="AP25">
        <f t="shared" si="13"/>
        <v>1</v>
      </c>
      <c r="AQ25" t="s">
        <v>51</v>
      </c>
      <c r="AR25">
        <f t="shared" si="31"/>
        <v>1</v>
      </c>
      <c r="AS25" t="s">
        <v>51</v>
      </c>
      <c r="AT25">
        <f t="shared" si="14"/>
        <v>2</v>
      </c>
      <c r="AU25" t="s">
        <v>52</v>
      </c>
      <c r="AV25">
        <f t="shared" si="15"/>
        <v>1</v>
      </c>
      <c r="AW25" t="s">
        <v>51</v>
      </c>
      <c r="AX25">
        <f t="shared" si="16"/>
        <v>1</v>
      </c>
      <c r="AY25" t="s">
        <v>52</v>
      </c>
      <c r="AZ25">
        <f t="shared" si="17"/>
        <v>1</v>
      </c>
      <c r="BA25" t="s">
        <v>52</v>
      </c>
      <c r="BB25">
        <f t="shared" si="18"/>
        <v>2</v>
      </c>
      <c r="BC25" t="s">
        <v>51</v>
      </c>
      <c r="BD25">
        <f t="shared" si="19"/>
        <v>2</v>
      </c>
      <c r="BE25" t="s">
        <v>52</v>
      </c>
      <c r="BF25">
        <f t="shared" si="20"/>
        <v>14</v>
      </c>
      <c r="BG25">
        <f t="shared" si="21"/>
        <v>0</v>
      </c>
      <c r="BH25" t="s">
        <v>55</v>
      </c>
      <c r="BI25">
        <f t="shared" si="22"/>
        <v>0</v>
      </c>
      <c r="BJ25" t="s">
        <v>56</v>
      </c>
      <c r="BK25">
        <f t="shared" si="32"/>
        <v>0</v>
      </c>
      <c r="BL25" t="s">
        <v>54</v>
      </c>
      <c r="BM25">
        <f>IF(BN25="变格终止",2,0)</f>
        <v>0</v>
      </c>
      <c r="BN25" t="s">
        <v>53</v>
      </c>
      <c r="BO25">
        <f t="shared" si="23"/>
        <v>0</v>
      </c>
      <c r="BP25">
        <f t="shared" si="24"/>
        <v>0</v>
      </c>
      <c r="BQ25" t="s">
        <v>58</v>
      </c>
      <c r="BR25">
        <f t="shared" si="25"/>
        <v>0</v>
      </c>
      <c r="BS25" t="s">
        <v>57</v>
      </c>
      <c r="BT25">
        <f t="shared" si="26"/>
        <v>1</v>
      </c>
      <c r="BU25" t="s">
        <v>59</v>
      </c>
      <c r="BV25">
        <f t="shared" si="27"/>
        <v>0</v>
      </c>
      <c r="BW25" t="s">
        <v>60</v>
      </c>
      <c r="BX25">
        <f t="shared" si="28"/>
        <v>0</v>
      </c>
      <c r="BY25" t="s">
        <v>61</v>
      </c>
      <c r="BZ25">
        <f t="shared" si="29"/>
        <v>1</v>
      </c>
      <c r="CA25">
        <f t="shared" si="30"/>
        <v>30</v>
      </c>
    </row>
    <row r="26" spans="1:79">
      <c r="A26" t="s">
        <v>104</v>
      </c>
      <c r="B26" t="s">
        <v>67</v>
      </c>
      <c r="C26" t="s">
        <v>48</v>
      </c>
      <c r="D26" t="s">
        <v>97</v>
      </c>
      <c r="F26" t="s">
        <v>214</v>
      </c>
      <c r="G26" t="s">
        <v>98</v>
      </c>
      <c r="J26">
        <v>5</v>
      </c>
      <c r="K26">
        <v>3</v>
      </c>
      <c r="L26">
        <v>3</v>
      </c>
      <c r="M26">
        <v>3</v>
      </c>
      <c r="N26">
        <v>5</v>
      </c>
      <c r="O26">
        <v>5</v>
      </c>
      <c r="P26">
        <v>1</v>
      </c>
      <c r="Q26">
        <f t="shared" si="0"/>
        <v>1</v>
      </c>
      <c r="R26" t="s">
        <v>51</v>
      </c>
      <c r="S26">
        <f t="shared" si="1"/>
        <v>1</v>
      </c>
      <c r="T26" t="s">
        <v>52</v>
      </c>
      <c r="U26">
        <f t="shared" si="2"/>
        <v>2</v>
      </c>
      <c r="V26" t="s">
        <v>52</v>
      </c>
      <c r="W26">
        <f t="shared" si="3"/>
        <v>1</v>
      </c>
      <c r="X26" t="s">
        <v>51</v>
      </c>
      <c r="Y26">
        <f t="shared" si="4"/>
        <v>2</v>
      </c>
      <c r="Z26" t="s">
        <v>51</v>
      </c>
      <c r="AA26">
        <f t="shared" si="5"/>
        <v>2</v>
      </c>
      <c r="AB26" t="s">
        <v>52</v>
      </c>
      <c r="AC26">
        <f t="shared" si="6"/>
        <v>1</v>
      </c>
      <c r="AD26" t="s">
        <v>51</v>
      </c>
      <c r="AE26">
        <f t="shared" si="7"/>
        <v>2</v>
      </c>
      <c r="AF26" t="s">
        <v>52</v>
      </c>
      <c r="AG26">
        <f t="shared" si="8"/>
        <v>2</v>
      </c>
      <c r="AH26" t="s">
        <v>51</v>
      </c>
      <c r="AI26">
        <f t="shared" si="9"/>
        <v>1</v>
      </c>
      <c r="AJ26" t="s">
        <v>52</v>
      </c>
      <c r="AK26">
        <f t="shared" si="10"/>
        <v>15</v>
      </c>
      <c r="AL26">
        <f t="shared" si="11"/>
        <v>2</v>
      </c>
      <c r="AM26" t="s">
        <v>52</v>
      </c>
      <c r="AN26">
        <f t="shared" si="12"/>
        <v>1</v>
      </c>
      <c r="AO26" t="s">
        <v>51</v>
      </c>
      <c r="AP26">
        <f t="shared" si="13"/>
        <v>1</v>
      </c>
      <c r="AQ26" t="s">
        <v>51</v>
      </c>
      <c r="AR26">
        <f t="shared" si="31"/>
        <v>1</v>
      </c>
      <c r="AS26" t="s">
        <v>51</v>
      </c>
      <c r="AT26">
        <f t="shared" si="14"/>
        <v>2</v>
      </c>
      <c r="AU26" t="s">
        <v>52</v>
      </c>
      <c r="AV26">
        <f t="shared" si="15"/>
        <v>1</v>
      </c>
      <c r="AW26" t="s">
        <v>51</v>
      </c>
      <c r="AX26">
        <f t="shared" si="16"/>
        <v>1</v>
      </c>
      <c r="AY26" t="s">
        <v>52</v>
      </c>
      <c r="AZ26">
        <f t="shared" si="17"/>
        <v>1</v>
      </c>
      <c r="BA26" t="s">
        <v>52</v>
      </c>
      <c r="BB26">
        <f t="shared" si="18"/>
        <v>2</v>
      </c>
      <c r="BC26" t="s">
        <v>51</v>
      </c>
      <c r="BD26">
        <f t="shared" si="19"/>
        <v>2</v>
      </c>
      <c r="BE26" t="s">
        <v>52</v>
      </c>
      <c r="BF26">
        <f t="shared" si="20"/>
        <v>14</v>
      </c>
      <c r="BG26">
        <f t="shared" si="21"/>
        <v>2</v>
      </c>
      <c r="BH26" t="s">
        <v>53</v>
      </c>
      <c r="BI26">
        <f t="shared" si="22"/>
        <v>2</v>
      </c>
      <c r="BJ26" t="s">
        <v>54</v>
      </c>
      <c r="BK26">
        <f t="shared" si="32"/>
        <v>2</v>
      </c>
      <c r="BL26" t="s">
        <v>55</v>
      </c>
      <c r="BM26">
        <f>IF(BN26="变格终止",2,0)</f>
        <v>2</v>
      </c>
      <c r="BN26" t="s">
        <v>56</v>
      </c>
      <c r="BO26">
        <f t="shared" si="23"/>
        <v>8</v>
      </c>
      <c r="BP26">
        <f t="shared" si="24"/>
        <v>1</v>
      </c>
      <c r="BQ26" t="s">
        <v>60</v>
      </c>
      <c r="BR26">
        <f t="shared" si="25"/>
        <v>1</v>
      </c>
      <c r="BS26" t="s">
        <v>58</v>
      </c>
      <c r="BT26">
        <f t="shared" si="26"/>
        <v>1</v>
      </c>
      <c r="BU26" t="s">
        <v>59</v>
      </c>
      <c r="BV26">
        <f t="shared" si="27"/>
        <v>1</v>
      </c>
      <c r="BW26" t="s">
        <v>61</v>
      </c>
      <c r="BX26">
        <f t="shared" si="28"/>
        <v>1</v>
      </c>
      <c r="BY26" t="s">
        <v>57</v>
      </c>
      <c r="BZ26">
        <f t="shared" si="29"/>
        <v>5</v>
      </c>
      <c r="CA26">
        <f t="shared" si="30"/>
        <v>42</v>
      </c>
    </row>
    <row r="27" spans="1:79">
      <c r="A27" t="s">
        <v>105</v>
      </c>
      <c r="B27" t="s">
        <v>63</v>
      </c>
      <c r="C27" t="s">
        <v>48</v>
      </c>
      <c r="D27" t="s">
        <v>97</v>
      </c>
      <c r="E27" t="s">
        <v>64</v>
      </c>
      <c r="F27" t="s">
        <v>216</v>
      </c>
      <c r="G27" t="s">
        <v>98</v>
      </c>
      <c r="J27">
        <v>5</v>
      </c>
      <c r="K27">
        <v>3</v>
      </c>
      <c r="L27">
        <v>3</v>
      </c>
      <c r="M27">
        <v>2</v>
      </c>
      <c r="N27">
        <v>5</v>
      </c>
      <c r="O27">
        <v>3</v>
      </c>
      <c r="P27">
        <v>1</v>
      </c>
      <c r="Q27">
        <f t="shared" si="0"/>
        <v>0</v>
      </c>
      <c r="R27" t="s">
        <v>52</v>
      </c>
      <c r="S27">
        <f t="shared" si="1"/>
        <v>1</v>
      </c>
      <c r="T27" t="s">
        <v>52</v>
      </c>
      <c r="U27">
        <f t="shared" si="2"/>
        <v>2</v>
      </c>
      <c r="V27" t="s">
        <v>52</v>
      </c>
      <c r="W27">
        <f t="shared" si="3"/>
        <v>1</v>
      </c>
      <c r="X27" t="s">
        <v>51</v>
      </c>
      <c r="Y27">
        <f t="shared" si="4"/>
        <v>2</v>
      </c>
      <c r="Z27" t="s">
        <v>51</v>
      </c>
      <c r="AA27">
        <f t="shared" si="5"/>
        <v>2</v>
      </c>
      <c r="AB27" t="s">
        <v>52</v>
      </c>
      <c r="AC27">
        <f t="shared" si="6"/>
        <v>1</v>
      </c>
      <c r="AD27" t="s">
        <v>51</v>
      </c>
      <c r="AE27">
        <f t="shared" si="7"/>
        <v>0</v>
      </c>
      <c r="AF27" t="s">
        <v>51</v>
      </c>
      <c r="AG27">
        <f t="shared" si="8"/>
        <v>2</v>
      </c>
      <c r="AH27" t="s">
        <v>51</v>
      </c>
      <c r="AI27">
        <f t="shared" si="9"/>
        <v>1</v>
      </c>
      <c r="AJ27" t="s">
        <v>52</v>
      </c>
      <c r="AK27">
        <f t="shared" si="10"/>
        <v>12</v>
      </c>
      <c r="AL27">
        <f t="shared" si="11"/>
        <v>0</v>
      </c>
      <c r="AM27" t="s">
        <v>51</v>
      </c>
      <c r="AN27">
        <f t="shared" si="12"/>
        <v>1</v>
      </c>
      <c r="AO27" t="s">
        <v>51</v>
      </c>
      <c r="AP27">
        <f t="shared" si="13"/>
        <v>1</v>
      </c>
      <c r="AQ27" t="s">
        <v>51</v>
      </c>
      <c r="AR27">
        <f t="shared" si="31"/>
        <v>1</v>
      </c>
      <c r="AS27" t="s">
        <v>51</v>
      </c>
      <c r="AT27">
        <f t="shared" si="14"/>
        <v>2</v>
      </c>
      <c r="AU27" t="s">
        <v>52</v>
      </c>
      <c r="AV27">
        <f t="shared" si="15"/>
        <v>1</v>
      </c>
      <c r="AW27" t="s">
        <v>51</v>
      </c>
      <c r="AX27">
        <f t="shared" si="16"/>
        <v>1</v>
      </c>
      <c r="AY27" t="s">
        <v>52</v>
      </c>
      <c r="AZ27">
        <f t="shared" si="17"/>
        <v>1</v>
      </c>
      <c r="BA27" t="s">
        <v>52</v>
      </c>
      <c r="BB27">
        <f t="shared" si="18"/>
        <v>2</v>
      </c>
      <c r="BC27" t="s">
        <v>51</v>
      </c>
      <c r="BD27">
        <f t="shared" si="19"/>
        <v>2</v>
      </c>
      <c r="BE27" t="s">
        <v>52</v>
      </c>
      <c r="BF27">
        <f t="shared" si="20"/>
        <v>12</v>
      </c>
      <c r="BG27">
        <f t="shared" si="21"/>
        <v>2</v>
      </c>
      <c r="BH27" t="s">
        <v>53</v>
      </c>
      <c r="BI27">
        <f t="shared" si="22"/>
        <v>2</v>
      </c>
      <c r="BJ27" t="s">
        <v>54</v>
      </c>
      <c r="BK27">
        <f t="shared" si="32"/>
        <v>2</v>
      </c>
      <c r="BL27" t="s">
        <v>55</v>
      </c>
      <c r="BM27">
        <f>IF(BN27="变格终止",2,0)</f>
        <v>2</v>
      </c>
      <c r="BN27" t="s">
        <v>56</v>
      </c>
      <c r="BO27">
        <f t="shared" si="23"/>
        <v>8</v>
      </c>
      <c r="BP27">
        <f t="shared" si="24"/>
        <v>1</v>
      </c>
      <c r="BQ27" t="s">
        <v>60</v>
      </c>
      <c r="BR27">
        <f t="shared" si="25"/>
        <v>1</v>
      </c>
      <c r="BS27" t="s">
        <v>58</v>
      </c>
      <c r="BT27">
        <f t="shared" si="26"/>
        <v>1</v>
      </c>
      <c r="BU27" t="s">
        <v>59</v>
      </c>
      <c r="BV27">
        <f t="shared" si="27"/>
        <v>1</v>
      </c>
      <c r="BW27" t="s">
        <v>61</v>
      </c>
      <c r="BX27">
        <f t="shared" si="28"/>
        <v>1</v>
      </c>
      <c r="BY27" t="s">
        <v>57</v>
      </c>
      <c r="BZ27">
        <f t="shared" si="29"/>
        <v>5</v>
      </c>
      <c r="CA27">
        <f t="shared" si="30"/>
        <v>37</v>
      </c>
    </row>
    <row r="28" spans="1:79">
      <c r="A28" t="s">
        <v>112</v>
      </c>
      <c r="B28" t="s">
        <v>63</v>
      </c>
      <c r="C28" t="s">
        <v>71</v>
      </c>
      <c r="D28" t="s">
        <v>97</v>
      </c>
      <c r="F28" t="s">
        <v>217</v>
      </c>
      <c r="G28" t="s">
        <v>113</v>
      </c>
      <c r="J28">
        <v>5</v>
      </c>
      <c r="K28">
        <v>4</v>
      </c>
      <c r="L28">
        <v>5</v>
      </c>
      <c r="M28">
        <v>3</v>
      </c>
      <c r="N28">
        <v>0</v>
      </c>
      <c r="O28">
        <v>1</v>
      </c>
      <c r="P28">
        <v>0</v>
      </c>
      <c r="Q28">
        <f t="shared" si="0"/>
        <v>1</v>
      </c>
      <c r="R28" t="s">
        <v>51</v>
      </c>
      <c r="S28">
        <f t="shared" si="1"/>
        <v>1</v>
      </c>
      <c r="T28" t="s">
        <v>52</v>
      </c>
      <c r="U28">
        <f t="shared" si="2"/>
        <v>2</v>
      </c>
      <c r="V28" t="s">
        <v>52</v>
      </c>
      <c r="W28">
        <f t="shared" si="3"/>
        <v>1</v>
      </c>
      <c r="X28" t="s">
        <v>51</v>
      </c>
      <c r="Y28">
        <f t="shared" si="4"/>
        <v>0</v>
      </c>
      <c r="Z28" t="s">
        <v>52</v>
      </c>
      <c r="AA28">
        <f t="shared" si="5"/>
        <v>0</v>
      </c>
      <c r="AB28" t="s">
        <v>51</v>
      </c>
      <c r="AC28">
        <f t="shared" si="6"/>
        <v>1</v>
      </c>
      <c r="AD28" t="s">
        <v>51</v>
      </c>
      <c r="AE28">
        <f t="shared" si="7"/>
        <v>2</v>
      </c>
      <c r="AF28" t="s">
        <v>52</v>
      </c>
      <c r="AG28">
        <f t="shared" si="8"/>
        <v>2</v>
      </c>
      <c r="AH28" t="s">
        <v>51</v>
      </c>
      <c r="AI28">
        <f t="shared" si="9"/>
        <v>1</v>
      </c>
      <c r="AJ28" t="s">
        <v>52</v>
      </c>
      <c r="AK28">
        <f t="shared" si="10"/>
        <v>11</v>
      </c>
      <c r="AL28">
        <f t="shared" si="11"/>
        <v>2</v>
      </c>
      <c r="AM28" t="s">
        <v>52</v>
      </c>
      <c r="AN28">
        <f t="shared" si="12"/>
        <v>1</v>
      </c>
      <c r="AO28" t="s">
        <v>51</v>
      </c>
      <c r="AP28">
        <f t="shared" si="13"/>
        <v>1</v>
      </c>
      <c r="AQ28" t="s">
        <v>51</v>
      </c>
      <c r="AR28">
        <f t="shared" si="31"/>
        <v>1</v>
      </c>
      <c r="AS28" t="s">
        <v>51</v>
      </c>
      <c r="AT28">
        <f t="shared" si="14"/>
        <v>2</v>
      </c>
      <c r="AU28" t="s">
        <v>52</v>
      </c>
      <c r="AV28">
        <f t="shared" si="15"/>
        <v>1</v>
      </c>
      <c r="AW28" t="s">
        <v>51</v>
      </c>
      <c r="AX28">
        <f t="shared" si="16"/>
        <v>1</v>
      </c>
      <c r="AY28" t="s">
        <v>52</v>
      </c>
      <c r="AZ28">
        <f t="shared" si="17"/>
        <v>1</v>
      </c>
      <c r="BA28" t="s">
        <v>52</v>
      </c>
      <c r="BB28">
        <f t="shared" si="18"/>
        <v>0</v>
      </c>
      <c r="BC28" t="s">
        <v>52</v>
      </c>
      <c r="BD28">
        <f t="shared" si="19"/>
        <v>2</v>
      </c>
      <c r="BE28" t="s">
        <v>52</v>
      </c>
      <c r="BF28">
        <f t="shared" si="20"/>
        <v>12</v>
      </c>
      <c r="BG28">
        <f t="shared" si="21"/>
        <v>0</v>
      </c>
      <c r="BH28" t="s">
        <v>56</v>
      </c>
      <c r="BI28">
        <f t="shared" si="22"/>
        <v>2</v>
      </c>
      <c r="BJ28" t="s">
        <v>54</v>
      </c>
      <c r="BK28">
        <f t="shared" si="32"/>
        <v>2</v>
      </c>
      <c r="BL28" t="s">
        <v>55</v>
      </c>
      <c r="BM28">
        <f>IF(BN28="变格终止",2,0)</f>
        <v>0</v>
      </c>
      <c r="BN28" t="s">
        <v>53</v>
      </c>
      <c r="BO28">
        <f t="shared" si="23"/>
        <v>4</v>
      </c>
      <c r="BP28">
        <f t="shared" si="24"/>
        <v>1</v>
      </c>
      <c r="BQ28" t="s">
        <v>60</v>
      </c>
      <c r="BR28">
        <f t="shared" si="25"/>
        <v>1</v>
      </c>
      <c r="BS28" t="s">
        <v>58</v>
      </c>
      <c r="BT28">
        <f t="shared" si="26"/>
        <v>1</v>
      </c>
      <c r="BU28" t="s">
        <v>59</v>
      </c>
      <c r="BV28">
        <f t="shared" si="27"/>
        <v>1</v>
      </c>
      <c r="BW28" t="s">
        <v>61</v>
      </c>
      <c r="BX28">
        <f t="shared" si="28"/>
        <v>1</v>
      </c>
      <c r="BY28" t="s">
        <v>57</v>
      </c>
      <c r="BZ28">
        <f t="shared" si="29"/>
        <v>5</v>
      </c>
      <c r="CA28">
        <f t="shared" si="30"/>
        <v>32</v>
      </c>
    </row>
    <row r="29" spans="1:79">
      <c r="A29" t="s">
        <v>121</v>
      </c>
      <c r="B29" t="s">
        <v>63</v>
      </c>
      <c r="C29" t="s">
        <v>71</v>
      </c>
      <c r="D29" t="s">
        <v>97</v>
      </c>
      <c r="F29" t="s">
        <v>218</v>
      </c>
      <c r="G29" t="s">
        <v>98</v>
      </c>
      <c r="J29">
        <v>5</v>
      </c>
      <c r="K29">
        <v>4</v>
      </c>
      <c r="L29">
        <v>4</v>
      </c>
      <c r="M29">
        <v>4</v>
      </c>
      <c r="N29">
        <v>2</v>
      </c>
      <c r="O29">
        <v>4</v>
      </c>
      <c r="P29">
        <v>0</v>
      </c>
      <c r="Q29">
        <f t="shared" si="0"/>
        <v>1</v>
      </c>
      <c r="R29" t="s">
        <v>51</v>
      </c>
      <c r="S29">
        <f t="shared" si="1"/>
        <v>1</v>
      </c>
      <c r="T29" t="s">
        <v>52</v>
      </c>
      <c r="U29">
        <f t="shared" si="2"/>
        <v>2</v>
      </c>
      <c r="V29" t="s">
        <v>52</v>
      </c>
      <c r="W29">
        <f t="shared" si="3"/>
        <v>1</v>
      </c>
      <c r="X29" t="s">
        <v>51</v>
      </c>
      <c r="Y29">
        <f t="shared" si="4"/>
        <v>2</v>
      </c>
      <c r="Z29" t="s">
        <v>51</v>
      </c>
      <c r="AA29">
        <f t="shared" si="5"/>
        <v>0</v>
      </c>
      <c r="AB29" t="s">
        <v>51</v>
      </c>
      <c r="AC29">
        <f t="shared" si="6"/>
        <v>1</v>
      </c>
      <c r="AD29" t="s">
        <v>51</v>
      </c>
      <c r="AE29">
        <f t="shared" si="7"/>
        <v>2</v>
      </c>
      <c r="AF29" t="s">
        <v>52</v>
      </c>
      <c r="AG29">
        <f t="shared" si="8"/>
        <v>0</v>
      </c>
      <c r="AH29" t="s">
        <v>52</v>
      </c>
      <c r="AI29">
        <f t="shared" si="9"/>
        <v>1</v>
      </c>
      <c r="AJ29" t="s">
        <v>52</v>
      </c>
      <c r="AK29">
        <f t="shared" si="10"/>
        <v>11</v>
      </c>
      <c r="AL29">
        <f t="shared" si="11"/>
        <v>2</v>
      </c>
      <c r="AM29" t="s">
        <v>52</v>
      </c>
      <c r="AN29">
        <f t="shared" si="12"/>
        <v>1</v>
      </c>
      <c r="AO29" t="s">
        <v>51</v>
      </c>
      <c r="AP29">
        <f t="shared" si="13"/>
        <v>1</v>
      </c>
      <c r="AQ29" t="s">
        <v>51</v>
      </c>
      <c r="AR29">
        <f t="shared" si="31"/>
        <v>1</v>
      </c>
      <c r="AS29" t="s">
        <v>51</v>
      </c>
      <c r="AT29">
        <f t="shared" si="14"/>
        <v>2</v>
      </c>
      <c r="AU29" t="s">
        <v>52</v>
      </c>
      <c r="AV29">
        <f t="shared" si="15"/>
        <v>1</v>
      </c>
      <c r="AW29" t="s">
        <v>51</v>
      </c>
      <c r="AX29">
        <f t="shared" si="16"/>
        <v>1</v>
      </c>
      <c r="AY29" t="s">
        <v>52</v>
      </c>
      <c r="AZ29">
        <f t="shared" si="17"/>
        <v>1</v>
      </c>
      <c r="BA29" t="s">
        <v>52</v>
      </c>
      <c r="BB29">
        <f t="shared" si="18"/>
        <v>2</v>
      </c>
      <c r="BC29" t="s">
        <v>51</v>
      </c>
      <c r="BD29">
        <f t="shared" si="19"/>
        <v>2</v>
      </c>
      <c r="BE29" t="s">
        <v>52</v>
      </c>
      <c r="BF29">
        <f t="shared" si="20"/>
        <v>14</v>
      </c>
      <c r="BG29">
        <f t="shared" si="21"/>
        <v>2</v>
      </c>
      <c r="BH29" t="s">
        <v>53</v>
      </c>
      <c r="BI29">
        <f t="shared" si="22"/>
        <v>2</v>
      </c>
      <c r="BJ29" t="s">
        <v>54</v>
      </c>
      <c r="BK29">
        <v>1</v>
      </c>
      <c r="BL29" t="s">
        <v>56</v>
      </c>
      <c r="BM29">
        <v>1</v>
      </c>
      <c r="BN29" t="s">
        <v>55</v>
      </c>
      <c r="BO29">
        <f t="shared" si="23"/>
        <v>6</v>
      </c>
      <c r="BP29">
        <f t="shared" si="24"/>
        <v>1</v>
      </c>
      <c r="BQ29" t="s">
        <v>60</v>
      </c>
      <c r="BR29">
        <f t="shared" si="25"/>
        <v>1</v>
      </c>
      <c r="BS29" t="s">
        <v>58</v>
      </c>
      <c r="BT29">
        <f t="shared" si="26"/>
        <v>1</v>
      </c>
      <c r="BU29" t="s">
        <v>59</v>
      </c>
      <c r="BV29">
        <f t="shared" si="27"/>
        <v>0</v>
      </c>
      <c r="BW29" t="s">
        <v>57</v>
      </c>
      <c r="BX29">
        <f t="shared" si="28"/>
        <v>0</v>
      </c>
      <c r="BY29" t="s">
        <v>61</v>
      </c>
      <c r="BZ29">
        <f t="shared" si="29"/>
        <v>3</v>
      </c>
      <c r="CA29">
        <f t="shared" si="30"/>
        <v>34</v>
      </c>
    </row>
    <row r="30" spans="1:79">
      <c r="A30" t="s">
        <v>123</v>
      </c>
      <c r="B30" t="s">
        <v>63</v>
      </c>
      <c r="C30" t="s">
        <v>76</v>
      </c>
      <c r="D30" t="s">
        <v>97</v>
      </c>
      <c r="F30" t="s">
        <v>219</v>
      </c>
      <c r="G30" t="s">
        <v>98</v>
      </c>
      <c r="J30">
        <v>5</v>
      </c>
      <c r="K30">
        <v>4</v>
      </c>
      <c r="L30">
        <v>3</v>
      </c>
      <c r="M30">
        <v>2</v>
      </c>
      <c r="N30">
        <v>4</v>
      </c>
      <c r="O30">
        <v>5</v>
      </c>
      <c r="P30">
        <v>1</v>
      </c>
      <c r="Q30">
        <f t="shared" si="0"/>
        <v>1</v>
      </c>
      <c r="R30" t="s">
        <v>51</v>
      </c>
      <c r="S30">
        <f t="shared" si="1"/>
        <v>0</v>
      </c>
      <c r="T30" t="s">
        <v>51</v>
      </c>
      <c r="U30">
        <f t="shared" si="2"/>
        <v>2</v>
      </c>
      <c r="V30" t="s">
        <v>52</v>
      </c>
      <c r="W30">
        <f t="shared" si="3"/>
        <v>1</v>
      </c>
      <c r="X30" t="s">
        <v>51</v>
      </c>
      <c r="Y30">
        <f t="shared" si="4"/>
        <v>2</v>
      </c>
      <c r="Z30" t="s">
        <v>51</v>
      </c>
      <c r="AA30">
        <f t="shared" si="5"/>
        <v>2</v>
      </c>
      <c r="AB30" t="s">
        <v>52</v>
      </c>
      <c r="AC30">
        <f t="shared" si="6"/>
        <v>1</v>
      </c>
      <c r="AD30" t="s">
        <v>51</v>
      </c>
      <c r="AE30">
        <f t="shared" si="7"/>
        <v>2</v>
      </c>
      <c r="AF30" t="s">
        <v>52</v>
      </c>
      <c r="AG30">
        <f t="shared" si="8"/>
        <v>2</v>
      </c>
      <c r="AH30" t="s">
        <v>51</v>
      </c>
      <c r="AI30">
        <f t="shared" si="9"/>
        <v>1</v>
      </c>
      <c r="AJ30" t="s">
        <v>52</v>
      </c>
      <c r="AK30">
        <f t="shared" si="10"/>
        <v>14</v>
      </c>
      <c r="AL30">
        <f t="shared" si="11"/>
        <v>2</v>
      </c>
      <c r="AM30" t="s">
        <v>52</v>
      </c>
      <c r="AN30">
        <f t="shared" si="12"/>
        <v>1</v>
      </c>
      <c r="AO30" t="s">
        <v>51</v>
      </c>
      <c r="AP30">
        <f t="shared" si="13"/>
        <v>1</v>
      </c>
      <c r="AQ30" t="s">
        <v>51</v>
      </c>
      <c r="AR30">
        <f t="shared" si="31"/>
        <v>1</v>
      </c>
      <c r="AS30" t="s">
        <v>51</v>
      </c>
      <c r="AT30">
        <f t="shared" si="14"/>
        <v>2</v>
      </c>
      <c r="AU30" t="s">
        <v>52</v>
      </c>
      <c r="AV30">
        <f t="shared" si="15"/>
        <v>1</v>
      </c>
      <c r="AW30" t="s">
        <v>51</v>
      </c>
      <c r="AX30">
        <f t="shared" si="16"/>
        <v>1</v>
      </c>
      <c r="AY30" t="s">
        <v>52</v>
      </c>
      <c r="AZ30">
        <f t="shared" si="17"/>
        <v>1</v>
      </c>
      <c r="BA30" t="s">
        <v>52</v>
      </c>
      <c r="BB30">
        <f t="shared" si="18"/>
        <v>2</v>
      </c>
      <c r="BC30" t="s">
        <v>51</v>
      </c>
      <c r="BD30">
        <f t="shared" si="19"/>
        <v>2</v>
      </c>
      <c r="BE30" t="s">
        <v>52</v>
      </c>
      <c r="BF30">
        <f t="shared" si="20"/>
        <v>14</v>
      </c>
      <c r="BG30">
        <f t="shared" si="21"/>
        <v>2</v>
      </c>
      <c r="BH30" t="s">
        <v>53</v>
      </c>
      <c r="BI30">
        <f t="shared" si="22"/>
        <v>2</v>
      </c>
      <c r="BJ30" t="s">
        <v>54</v>
      </c>
      <c r="BK30">
        <f>IF(BL30="完全终止",2,0)</f>
        <v>2</v>
      </c>
      <c r="BL30" t="s">
        <v>55</v>
      </c>
      <c r="BM30">
        <f>IF(BN30="变格终止",2,0)</f>
        <v>2</v>
      </c>
      <c r="BN30" t="s">
        <v>56</v>
      </c>
      <c r="BO30">
        <f t="shared" si="23"/>
        <v>8</v>
      </c>
      <c r="BP30">
        <f t="shared" si="24"/>
        <v>1</v>
      </c>
      <c r="BQ30" t="s">
        <v>60</v>
      </c>
      <c r="BR30">
        <f t="shared" si="25"/>
        <v>1</v>
      </c>
      <c r="BS30" t="s">
        <v>58</v>
      </c>
      <c r="BT30">
        <f t="shared" si="26"/>
        <v>1</v>
      </c>
      <c r="BU30" t="s">
        <v>59</v>
      </c>
      <c r="BV30">
        <f t="shared" si="27"/>
        <v>1</v>
      </c>
      <c r="BW30" t="s">
        <v>61</v>
      </c>
      <c r="BX30">
        <f t="shared" si="28"/>
        <v>1</v>
      </c>
      <c r="BY30" t="s">
        <v>57</v>
      </c>
      <c r="BZ30">
        <f t="shared" si="29"/>
        <v>5</v>
      </c>
      <c r="CA30">
        <f t="shared" si="30"/>
        <v>41</v>
      </c>
    </row>
    <row r="31" spans="1:79">
      <c r="A31" t="s">
        <v>126</v>
      </c>
      <c r="B31" t="s">
        <v>63</v>
      </c>
      <c r="C31" t="s">
        <v>76</v>
      </c>
      <c r="D31" t="s">
        <v>97</v>
      </c>
      <c r="F31" t="s">
        <v>220</v>
      </c>
      <c r="G31" t="s">
        <v>113</v>
      </c>
      <c r="J31">
        <v>5</v>
      </c>
      <c r="K31">
        <v>4</v>
      </c>
      <c r="L31">
        <v>5</v>
      </c>
      <c r="M31">
        <v>3</v>
      </c>
      <c r="N31">
        <v>5</v>
      </c>
      <c r="O31">
        <v>5</v>
      </c>
      <c r="P31">
        <v>1</v>
      </c>
      <c r="Q31">
        <f t="shared" si="0"/>
        <v>1</v>
      </c>
      <c r="R31" t="s">
        <v>51</v>
      </c>
      <c r="S31">
        <f t="shared" si="1"/>
        <v>1</v>
      </c>
      <c r="T31" t="s">
        <v>52</v>
      </c>
      <c r="U31">
        <f t="shared" si="2"/>
        <v>2</v>
      </c>
      <c r="V31" t="s">
        <v>52</v>
      </c>
      <c r="W31">
        <f t="shared" si="3"/>
        <v>1</v>
      </c>
      <c r="X31" t="s">
        <v>51</v>
      </c>
      <c r="Y31">
        <f t="shared" si="4"/>
        <v>2</v>
      </c>
      <c r="Z31" t="s">
        <v>51</v>
      </c>
      <c r="AA31">
        <f t="shared" si="5"/>
        <v>2</v>
      </c>
      <c r="AB31" t="s">
        <v>52</v>
      </c>
      <c r="AC31">
        <f t="shared" si="6"/>
        <v>1</v>
      </c>
      <c r="AD31" t="s">
        <v>51</v>
      </c>
      <c r="AE31">
        <f t="shared" si="7"/>
        <v>2</v>
      </c>
      <c r="AF31" t="s">
        <v>52</v>
      </c>
      <c r="AG31">
        <f t="shared" si="8"/>
        <v>2</v>
      </c>
      <c r="AH31" t="s">
        <v>51</v>
      </c>
      <c r="AI31">
        <f t="shared" si="9"/>
        <v>1</v>
      </c>
      <c r="AJ31" t="s">
        <v>52</v>
      </c>
      <c r="AK31">
        <f t="shared" si="10"/>
        <v>15</v>
      </c>
      <c r="AL31">
        <f t="shared" si="11"/>
        <v>2</v>
      </c>
      <c r="AM31" t="s">
        <v>52</v>
      </c>
      <c r="AN31">
        <f t="shared" si="12"/>
        <v>1</v>
      </c>
      <c r="AO31" t="s">
        <v>51</v>
      </c>
      <c r="AP31">
        <f t="shared" si="13"/>
        <v>1</v>
      </c>
      <c r="AQ31" t="s">
        <v>51</v>
      </c>
      <c r="AR31">
        <f t="shared" si="31"/>
        <v>1</v>
      </c>
      <c r="AS31" t="s">
        <v>51</v>
      </c>
      <c r="AT31">
        <f t="shared" si="14"/>
        <v>2</v>
      </c>
      <c r="AU31" t="s">
        <v>52</v>
      </c>
      <c r="AV31">
        <f t="shared" si="15"/>
        <v>1</v>
      </c>
      <c r="AW31" t="s">
        <v>51</v>
      </c>
      <c r="AX31">
        <f t="shared" si="16"/>
        <v>1</v>
      </c>
      <c r="AY31" t="s">
        <v>52</v>
      </c>
      <c r="AZ31">
        <f t="shared" si="17"/>
        <v>1</v>
      </c>
      <c r="BA31" t="s">
        <v>52</v>
      </c>
      <c r="BB31">
        <f t="shared" si="18"/>
        <v>0</v>
      </c>
      <c r="BC31" t="s">
        <v>52</v>
      </c>
      <c r="BD31">
        <f t="shared" si="19"/>
        <v>2</v>
      </c>
      <c r="BE31" t="s">
        <v>52</v>
      </c>
      <c r="BF31">
        <f t="shared" si="20"/>
        <v>12</v>
      </c>
      <c r="BG31">
        <f t="shared" si="21"/>
        <v>2</v>
      </c>
      <c r="BH31" t="s">
        <v>53</v>
      </c>
      <c r="BI31">
        <f t="shared" si="22"/>
        <v>2</v>
      </c>
      <c r="BJ31" t="s">
        <v>54</v>
      </c>
      <c r="BK31">
        <f>IF(BL31="完全终止",2,0)</f>
        <v>2</v>
      </c>
      <c r="BL31" t="s">
        <v>55</v>
      </c>
      <c r="BM31">
        <f>IF(BN31="变格终止",2,0)</f>
        <v>2</v>
      </c>
      <c r="BN31" t="s">
        <v>56</v>
      </c>
      <c r="BO31">
        <f t="shared" si="23"/>
        <v>8</v>
      </c>
      <c r="BP31">
        <f t="shared" si="24"/>
        <v>1</v>
      </c>
      <c r="BQ31" t="s">
        <v>60</v>
      </c>
      <c r="BR31">
        <f t="shared" si="25"/>
        <v>1</v>
      </c>
      <c r="BS31" t="s">
        <v>58</v>
      </c>
      <c r="BT31">
        <f t="shared" si="26"/>
        <v>1</v>
      </c>
      <c r="BU31" t="s">
        <v>59</v>
      </c>
      <c r="BV31">
        <f t="shared" si="27"/>
        <v>1</v>
      </c>
      <c r="BW31" t="s">
        <v>61</v>
      </c>
      <c r="BX31">
        <f t="shared" si="28"/>
        <v>1</v>
      </c>
      <c r="BY31" t="s">
        <v>57</v>
      </c>
      <c r="BZ31">
        <f t="shared" si="29"/>
        <v>5</v>
      </c>
      <c r="CA31">
        <f t="shared" si="30"/>
        <v>40</v>
      </c>
    </row>
    <row r="32" spans="1:79">
      <c r="A32" t="s">
        <v>147</v>
      </c>
      <c r="B32" t="s">
        <v>63</v>
      </c>
      <c r="C32" t="s">
        <v>48</v>
      </c>
      <c r="D32" t="s">
        <v>97</v>
      </c>
      <c r="F32" t="s">
        <v>200</v>
      </c>
      <c r="G32" t="s">
        <v>98</v>
      </c>
      <c r="J32">
        <v>5</v>
      </c>
      <c r="K32">
        <v>2</v>
      </c>
      <c r="L32">
        <v>1</v>
      </c>
      <c r="M32">
        <v>3</v>
      </c>
      <c r="N32">
        <v>4</v>
      </c>
      <c r="O32">
        <v>5</v>
      </c>
      <c r="P32">
        <v>1</v>
      </c>
      <c r="Q32">
        <f t="shared" si="0"/>
        <v>1</v>
      </c>
      <c r="R32" t="s">
        <v>51</v>
      </c>
      <c r="S32">
        <f t="shared" si="1"/>
        <v>1</v>
      </c>
      <c r="T32" t="s">
        <v>52</v>
      </c>
      <c r="U32">
        <f t="shared" si="2"/>
        <v>2</v>
      </c>
      <c r="V32" t="s">
        <v>52</v>
      </c>
      <c r="W32">
        <f t="shared" si="3"/>
        <v>1</v>
      </c>
      <c r="X32" t="s">
        <v>51</v>
      </c>
      <c r="Y32">
        <f t="shared" si="4"/>
        <v>2</v>
      </c>
      <c r="Z32" t="s">
        <v>51</v>
      </c>
      <c r="AA32">
        <f t="shared" si="5"/>
        <v>0</v>
      </c>
      <c r="AB32" t="s">
        <v>51</v>
      </c>
      <c r="AC32">
        <f t="shared" si="6"/>
        <v>1</v>
      </c>
      <c r="AD32" t="s">
        <v>51</v>
      </c>
      <c r="AE32">
        <f t="shared" si="7"/>
        <v>2</v>
      </c>
      <c r="AF32" t="s">
        <v>52</v>
      </c>
      <c r="AG32">
        <f t="shared" si="8"/>
        <v>2</v>
      </c>
      <c r="AH32" t="s">
        <v>51</v>
      </c>
      <c r="AI32">
        <f t="shared" si="9"/>
        <v>1</v>
      </c>
      <c r="AJ32" t="s">
        <v>52</v>
      </c>
      <c r="AK32">
        <f t="shared" si="10"/>
        <v>13</v>
      </c>
      <c r="AL32">
        <f t="shared" si="11"/>
        <v>0</v>
      </c>
      <c r="AM32" t="s">
        <v>51</v>
      </c>
      <c r="AN32">
        <f t="shared" si="12"/>
        <v>1</v>
      </c>
      <c r="AO32" t="s">
        <v>51</v>
      </c>
      <c r="AP32">
        <f t="shared" si="13"/>
        <v>1</v>
      </c>
      <c r="AQ32" t="s">
        <v>51</v>
      </c>
      <c r="AR32">
        <f t="shared" si="31"/>
        <v>1</v>
      </c>
      <c r="AS32" t="s">
        <v>51</v>
      </c>
      <c r="AT32">
        <f t="shared" si="14"/>
        <v>2</v>
      </c>
      <c r="AU32" t="s">
        <v>52</v>
      </c>
      <c r="AV32">
        <f t="shared" si="15"/>
        <v>1</v>
      </c>
      <c r="AW32" t="s">
        <v>51</v>
      </c>
      <c r="AX32">
        <f t="shared" si="16"/>
        <v>0</v>
      </c>
      <c r="AY32" t="s">
        <v>51</v>
      </c>
      <c r="AZ32">
        <f t="shared" si="17"/>
        <v>1</v>
      </c>
      <c r="BA32" t="s">
        <v>52</v>
      </c>
      <c r="BB32">
        <f t="shared" si="18"/>
        <v>2</v>
      </c>
      <c r="BC32" t="s">
        <v>51</v>
      </c>
      <c r="BD32">
        <f t="shared" si="19"/>
        <v>2</v>
      </c>
      <c r="BE32" t="s">
        <v>52</v>
      </c>
      <c r="BF32">
        <f t="shared" si="20"/>
        <v>11</v>
      </c>
      <c r="BG32">
        <f t="shared" si="21"/>
        <v>2</v>
      </c>
      <c r="BH32" t="s">
        <v>53</v>
      </c>
      <c r="BI32">
        <f t="shared" si="22"/>
        <v>2</v>
      </c>
      <c r="BJ32" t="s">
        <v>54</v>
      </c>
      <c r="BK32">
        <f>IF(BL32="完全终止",2,0)</f>
        <v>2</v>
      </c>
      <c r="BL32" t="s">
        <v>55</v>
      </c>
      <c r="BM32">
        <f>IF(BN32="变格终止",2,0)</f>
        <v>2</v>
      </c>
      <c r="BN32" t="s">
        <v>56</v>
      </c>
      <c r="BO32">
        <f t="shared" si="23"/>
        <v>8</v>
      </c>
      <c r="BP32">
        <f t="shared" si="24"/>
        <v>0</v>
      </c>
      <c r="BQ32" t="s">
        <v>57</v>
      </c>
      <c r="BR32">
        <f t="shared" si="25"/>
        <v>1</v>
      </c>
      <c r="BS32" t="s">
        <v>58</v>
      </c>
      <c r="BT32">
        <f t="shared" si="26"/>
        <v>0</v>
      </c>
      <c r="BU32" t="s">
        <v>60</v>
      </c>
      <c r="BV32">
        <f t="shared" si="27"/>
        <v>1</v>
      </c>
      <c r="BW32" t="s">
        <v>61</v>
      </c>
      <c r="BX32">
        <f t="shared" si="28"/>
        <v>0</v>
      </c>
      <c r="BY32" t="s">
        <v>59</v>
      </c>
      <c r="BZ32">
        <f t="shared" si="29"/>
        <v>2</v>
      </c>
      <c r="CA32">
        <f t="shared" si="30"/>
        <v>34</v>
      </c>
    </row>
    <row r="33" spans="1:79">
      <c r="A33" t="s">
        <v>245</v>
      </c>
      <c r="B33" t="s">
        <v>63</v>
      </c>
      <c r="C33" t="s">
        <v>76</v>
      </c>
      <c r="D33" t="s">
        <v>97</v>
      </c>
      <c r="G33" t="s">
        <v>98</v>
      </c>
      <c r="J33">
        <v>5</v>
      </c>
      <c r="K33">
        <v>4</v>
      </c>
      <c r="L33">
        <v>5</v>
      </c>
      <c r="M33">
        <v>2</v>
      </c>
      <c r="N33">
        <v>1</v>
      </c>
      <c r="O33">
        <v>5</v>
      </c>
      <c r="P33">
        <v>0</v>
      </c>
      <c r="Q33">
        <f t="shared" si="0"/>
        <v>1</v>
      </c>
      <c r="R33" t="s">
        <v>51</v>
      </c>
      <c r="S33">
        <f t="shared" si="1"/>
        <v>1</v>
      </c>
      <c r="T33" t="s">
        <v>52</v>
      </c>
      <c r="U33">
        <f t="shared" si="2"/>
        <v>2</v>
      </c>
      <c r="V33" t="s">
        <v>52</v>
      </c>
      <c r="W33">
        <f t="shared" si="3"/>
        <v>1</v>
      </c>
      <c r="X33" t="s">
        <v>51</v>
      </c>
      <c r="Y33">
        <f t="shared" si="4"/>
        <v>2</v>
      </c>
      <c r="Z33" t="s">
        <v>51</v>
      </c>
      <c r="AA33">
        <f t="shared" si="5"/>
        <v>2</v>
      </c>
      <c r="AB33" t="s">
        <v>52</v>
      </c>
      <c r="AC33">
        <f t="shared" si="6"/>
        <v>1</v>
      </c>
      <c r="AD33" t="s">
        <v>51</v>
      </c>
      <c r="AE33">
        <f t="shared" si="7"/>
        <v>2</v>
      </c>
      <c r="AF33" t="s">
        <v>52</v>
      </c>
      <c r="AG33">
        <f t="shared" si="8"/>
        <v>2</v>
      </c>
      <c r="AH33" t="s">
        <v>51</v>
      </c>
      <c r="AI33">
        <f t="shared" si="9"/>
        <v>1</v>
      </c>
      <c r="AJ33" t="s">
        <v>52</v>
      </c>
      <c r="AK33">
        <f t="shared" si="10"/>
        <v>15</v>
      </c>
      <c r="AL33">
        <f t="shared" si="11"/>
        <v>2</v>
      </c>
      <c r="AM33" t="s">
        <v>52</v>
      </c>
      <c r="AN33">
        <f t="shared" si="12"/>
        <v>1</v>
      </c>
      <c r="AO33" t="s">
        <v>51</v>
      </c>
      <c r="AP33">
        <f t="shared" si="13"/>
        <v>1</v>
      </c>
      <c r="AQ33" t="s">
        <v>51</v>
      </c>
      <c r="AR33">
        <f t="shared" si="31"/>
        <v>1</v>
      </c>
      <c r="AS33" t="s">
        <v>51</v>
      </c>
      <c r="AT33">
        <f t="shared" si="14"/>
        <v>2</v>
      </c>
      <c r="AU33" t="s">
        <v>52</v>
      </c>
      <c r="AV33">
        <f t="shared" si="15"/>
        <v>1</v>
      </c>
      <c r="AW33" t="s">
        <v>51</v>
      </c>
      <c r="AX33">
        <f t="shared" si="16"/>
        <v>1</v>
      </c>
      <c r="AY33" t="s">
        <v>52</v>
      </c>
      <c r="AZ33">
        <f t="shared" si="17"/>
        <v>0</v>
      </c>
      <c r="BA33" t="s">
        <v>51</v>
      </c>
      <c r="BB33">
        <f t="shared" si="18"/>
        <v>0</v>
      </c>
      <c r="BC33" t="s">
        <v>52</v>
      </c>
      <c r="BD33">
        <f t="shared" si="19"/>
        <v>2</v>
      </c>
      <c r="BE33" t="s">
        <v>52</v>
      </c>
      <c r="BF33">
        <f t="shared" si="20"/>
        <v>11</v>
      </c>
      <c r="BG33">
        <f t="shared" si="21"/>
        <v>2</v>
      </c>
      <c r="BH33" t="s">
        <v>53</v>
      </c>
      <c r="BI33">
        <f t="shared" si="22"/>
        <v>2</v>
      </c>
      <c r="BJ33" t="s">
        <v>54</v>
      </c>
      <c r="BK33">
        <v>2</v>
      </c>
      <c r="BL33" t="s">
        <v>55</v>
      </c>
      <c r="BM33">
        <v>2</v>
      </c>
      <c r="BN33" t="s">
        <v>56</v>
      </c>
      <c r="BO33">
        <f t="shared" si="23"/>
        <v>8</v>
      </c>
      <c r="BP33">
        <f t="shared" si="24"/>
        <v>1</v>
      </c>
      <c r="BQ33" t="s">
        <v>60</v>
      </c>
      <c r="BR33">
        <f t="shared" si="25"/>
        <v>1</v>
      </c>
      <c r="BS33" t="s">
        <v>58</v>
      </c>
      <c r="BT33">
        <f t="shared" si="26"/>
        <v>1</v>
      </c>
      <c r="BU33" t="s">
        <v>59</v>
      </c>
      <c r="BV33">
        <f t="shared" si="27"/>
        <v>1</v>
      </c>
      <c r="BW33" t="s">
        <v>61</v>
      </c>
      <c r="BX33">
        <f t="shared" si="28"/>
        <v>1</v>
      </c>
      <c r="BY33" t="s">
        <v>57</v>
      </c>
      <c r="BZ33">
        <f t="shared" si="29"/>
        <v>5</v>
      </c>
      <c r="CA33">
        <f t="shared" si="30"/>
        <v>39</v>
      </c>
    </row>
    <row r="34" spans="1:79">
      <c r="A34" t="s">
        <v>246</v>
      </c>
      <c r="B34" t="s">
        <v>63</v>
      </c>
      <c r="C34" t="s">
        <v>76</v>
      </c>
      <c r="D34" t="s">
        <v>97</v>
      </c>
      <c r="G34" t="s">
        <v>98</v>
      </c>
      <c r="J34">
        <v>5</v>
      </c>
      <c r="K34">
        <v>4</v>
      </c>
      <c r="L34">
        <v>5</v>
      </c>
      <c r="M34">
        <v>2</v>
      </c>
      <c r="N34">
        <v>2</v>
      </c>
      <c r="O34">
        <v>5</v>
      </c>
      <c r="P34">
        <v>0</v>
      </c>
      <c r="Q34">
        <f t="shared" ref="Q34:Q65" si="33">IF(R34="不同",1,0)</f>
        <v>1</v>
      </c>
      <c r="R34" t="s">
        <v>51</v>
      </c>
      <c r="S34">
        <f t="shared" ref="S34:S65" si="34">IF(T34="相同",1,0)</f>
        <v>1</v>
      </c>
      <c r="T34" t="s">
        <v>52</v>
      </c>
      <c r="U34">
        <f t="shared" ref="U34:U65" si="35">IF(V34="相同",2,0)</f>
        <v>2</v>
      </c>
      <c r="V34" t="s">
        <v>52</v>
      </c>
      <c r="W34">
        <f t="shared" ref="W34:W65" si="36">IF(X34="不同",1,0)</f>
        <v>0</v>
      </c>
      <c r="X34" t="s">
        <v>52</v>
      </c>
      <c r="Y34">
        <f t="shared" ref="Y34:Y65" si="37">IF(Z34="不同",2,0)</f>
        <v>2</v>
      </c>
      <c r="Z34" t="s">
        <v>51</v>
      </c>
      <c r="AA34">
        <f t="shared" ref="AA34:AA65" si="38">IF(AB34="相同",2,0)</f>
        <v>0</v>
      </c>
      <c r="AB34" t="s">
        <v>51</v>
      </c>
      <c r="AC34">
        <f t="shared" ref="AC34:AC65" si="39">IF(AD34="不同",1,0)</f>
        <v>1</v>
      </c>
      <c r="AD34" t="s">
        <v>51</v>
      </c>
      <c r="AE34">
        <f t="shared" ref="AE34:AE65" si="40">IF(AF34="相同",2,0)</f>
        <v>2</v>
      </c>
      <c r="AF34" t="s">
        <v>52</v>
      </c>
      <c r="AG34">
        <f t="shared" ref="AG34:AG65" si="41">IF(AH34="不同",2,0)</f>
        <v>2</v>
      </c>
      <c r="AH34" t="s">
        <v>51</v>
      </c>
      <c r="AI34">
        <f t="shared" ref="AI34:AI65" si="42">IF(AJ34="相同",1,0)</f>
        <v>1</v>
      </c>
      <c r="AJ34" t="s">
        <v>52</v>
      </c>
      <c r="AK34">
        <f t="shared" ref="AK34:AK65" si="43">SUM(Q34,S34,U34,W34,Y34,AA34,AC34,AE34,AG34,AI34)</f>
        <v>12</v>
      </c>
      <c r="AL34">
        <f t="shared" ref="AL34:AL65" si="44">IF(AM34="相同",2,0)</f>
        <v>0</v>
      </c>
      <c r="AM34" t="s">
        <v>51</v>
      </c>
      <c r="AN34">
        <f t="shared" ref="AN34:AN65" si="45">IF(AO34="不同",1,0)</f>
        <v>1</v>
      </c>
      <c r="AO34" t="s">
        <v>51</v>
      </c>
      <c r="AP34">
        <f t="shared" ref="AP34:AP65" si="46">IF(AQ34="不同",1,0)</f>
        <v>1</v>
      </c>
      <c r="AQ34" t="s">
        <v>51</v>
      </c>
      <c r="AR34">
        <f t="shared" si="31"/>
        <v>1</v>
      </c>
      <c r="AS34" t="s">
        <v>51</v>
      </c>
      <c r="AT34">
        <f t="shared" ref="AT34:AT65" si="47">IF(AU34="相同",2,0)</f>
        <v>2</v>
      </c>
      <c r="AU34" t="s">
        <v>52</v>
      </c>
      <c r="AV34">
        <f t="shared" ref="AV34:AV65" si="48">IF(AW34="不同",1,0)</f>
        <v>1</v>
      </c>
      <c r="AW34" t="s">
        <v>51</v>
      </c>
      <c r="AX34">
        <f t="shared" ref="AX34:AX65" si="49">IF(AY34="相同",1,0)</f>
        <v>1</v>
      </c>
      <c r="AY34" t="s">
        <v>52</v>
      </c>
      <c r="AZ34">
        <f t="shared" ref="AZ34:AZ65" si="50">IF(BA34="相同",1,0)</f>
        <v>1</v>
      </c>
      <c r="BA34" t="s">
        <v>52</v>
      </c>
      <c r="BB34">
        <f t="shared" ref="BB34:BB65" si="51">IF(BC34="不同",2,0)</f>
        <v>2</v>
      </c>
      <c r="BC34" t="s">
        <v>51</v>
      </c>
      <c r="BD34">
        <f t="shared" ref="BD34:BD65" si="52">IF(BE34="相同",2,0)</f>
        <v>2</v>
      </c>
      <c r="BE34" t="s">
        <v>52</v>
      </c>
      <c r="BF34">
        <f t="shared" ref="BF34:BF65" si="53">SUM(AL34,AN34,AP34,AR34,AT34,AV34,AX34,AZ34,BB34,BD34)</f>
        <v>12</v>
      </c>
      <c r="BG34">
        <f t="shared" ref="BG34:BG65" si="54">IF(BH34="导音终止",2,0)</f>
        <v>2</v>
      </c>
      <c r="BH34" t="s">
        <v>53</v>
      </c>
      <c r="BI34">
        <f t="shared" ref="BI34:BI65" si="55">IF(BJ34="阻碍终止",2,0)</f>
        <v>2</v>
      </c>
      <c r="BJ34" t="s">
        <v>54</v>
      </c>
      <c r="BK34">
        <v>1</v>
      </c>
      <c r="BL34" t="s">
        <v>56</v>
      </c>
      <c r="BM34">
        <v>1</v>
      </c>
      <c r="BN34" t="s">
        <v>55</v>
      </c>
      <c r="BO34">
        <f t="shared" ref="BO34:BO65" si="56">SUM(BG34,BI34,BK34,BM34)</f>
        <v>6</v>
      </c>
      <c r="BP34">
        <f t="shared" ref="BP34:BP65" si="57">IF(BQ34="Drill",1,0)</f>
        <v>0</v>
      </c>
      <c r="BQ34" t="s">
        <v>61</v>
      </c>
      <c r="BR34">
        <f t="shared" ref="BR34:BR65" si="58">IF(BS34="Reggaetton",1,0)</f>
        <v>1</v>
      </c>
      <c r="BS34" t="s">
        <v>58</v>
      </c>
      <c r="BT34">
        <f t="shared" ref="BT34:BT65" si="59">IF(BU34="R&amp;B",1,0)</f>
        <v>1</v>
      </c>
      <c r="BU34" t="s">
        <v>59</v>
      </c>
      <c r="BV34">
        <f t="shared" ref="BV34:BV65" si="60">IF(BW34="Drum &amp; Bass",1,0)</f>
        <v>0</v>
      </c>
      <c r="BW34" t="s">
        <v>57</v>
      </c>
      <c r="BX34">
        <f t="shared" ref="BX34:BX65" si="61">IF(BY34="Trap",1,0)</f>
        <v>0</v>
      </c>
      <c r="BY34" t="s">
        <v>60</v>
      </c>
      <c r="BZ34">
        <f t="shared" ref="BZ34:BZ65" si="62">SUM(BP34,BR34,BT34,BV34,BX34)</f>
        <v>2</v>
      </c>
      <c r="CA34">
        <f t="shared" ref="CA34:CA65" si="63">SUM(BZ34+BO34+BF34+AK34)</f>
        <v>32</v>
      </c>
    </row>
    <row r="35" spans="1:79">
      <c r="A35" t="s">
        <v>124</v>
      </c>
      <c r="B35" t="s">
        <v>63</v>
      </c>
      <c r="C35" t="s">
        <v>76</v>
      </c>
      <c r="D35" t="s">
        <v>97</v>
      </c>
      <c r="F35" t="s">
        <v>200</v>
      </c>
      <c r="G35" t="s">
        <v>125</v>
      </c>
      <c r="I35" s="1" t="s">
        <v>196</v>
      </c>
      <c r="J35">
        <v>5.5</v>
      </c>
      <c r="K35">
        <v>3</v>
      </c>
      <c r="L35">
        <v>3</v>
      </c>
      <c r="M35">
        <v>2</v>
      </c>
      <c r="N35">
        <v>3</v>
      </c>
      <c r="O35">
        <v>5</v>
      </c>
      <c r="P35">
        <v>0</v>
      </c>
      <c r="Q35">
        <f t="shared" si="33"/>
        <v>1</v>
      </c>
      <c r="R35" t="s">
        <v>51</v>
      </c>
      <c r="S35">
        <f t="shared" si="34"/>
        <v>1</v>
      </c>
      <c r="T35" t="s">
        <v>52</v>
      </c>
      <c r="U35">
        <f t="shared" si="35"/>
        <v>2</v>
      </c>
      <c r="V35" t="s">
        <v>52</v>
      </c>
      <c r="W35">
        <f t="shared" si="36"/>
        <v>1</v>
      </c>
      <c r="X35" t="s">
        <v>51</v>
      </c>
      <c r="Y35">
        <f t="shared" si="37"/>
        <v>0</v>
      </c>
      <c r="Z35" t="s">
        <v>52</v>
      </c>
      <c r="AA35">
        <f t="shared" si="38"/>
        <v>2</v>
      </c>
      <c r="AB35" t="s">
        <v>52</v>
      </c>
      <c r="AC35">
        <f t="shared" si="39"/>
        <v>1</v>
      </c>
      <c r="AD35" t="s">
        <v>51</v>
      </c>
      <c r="AE35">
        <f t="shared" si="40"/>
        <v>0</v>
      </c>
      <c r="AF35" t="s">
        <v>51</v>
      </c>
      <c r="AG35">
        <f t="shared" si="41"/>
        <v>0</v>
      </c>
      <c r="AH35" t="s">
        <v>52</v>
      </c>
      <c r="AI35">
        <f t="shared" si="42"/>
        <v>1</v>
      </c>
      <c r="AJ35" t="s">
        <v>52</v>
      </c>
      <c r="AK35">
        <f t="shared" si="43"/>
        <v>9</v>
      </c>
      <c r="AL35">
        <f t="shared" si="44"/>
        <v>0</v>
      </c>
      <c r="AM35" t="s">
        <v>51</v>
      </c>
      <c r="AN35">
        <f t="shared" si="45"/>
        <v>1</v>
      </c>
      <c r="AO35" t="s">
        <v>51</v>
      </c>
      <c r="AP35">
        <f t="shared" si="46"/>
        <v>1</v>
      </c>
      <c r="AQ35" t="s">
        <v>51</v>
      </c>
      <c r="AR35">
        <f t="shared" ref="AR35:AR53" si="64">IF(AS34="不同",1,0)</f>
        <v>1</v>
      </c>
      <c r="AS35" t="s">
        <v>51</v>
      </c>
      <c r="AT35">
        <f t="shared" si="47"/>
        <v>0</v>
      </c>
      <c r="AU35" t="s">
        <v>51</v>
      </c>
      <c r="AV35">
        <f t="shared" si="48"/>
        <v>1</v>
      </c>
      <c r="AW35" t="s">
        <v>51</v>
      </c>
      <c r="AX35">
        <f t="shared" si="49"/>
        <v>1</v>
      </c>
      <c r="AY35" t="s">
        <v>52</v>
      </c>
      <c r="AZ35">
        <f t="shared" si="50"/>
        <v>1</v>
      </c>
      <c r="BA35" t="s">
        <v>52</v>
      </c>
      <c r="BB35">
        <f t="shared" si="51"/>
        <v>0</v>
      </c>
      <c r="BC35" t="s">
        <v>52</v>
      </c>
      <c r="BD35">
        <f t="shared" si="52"/>
        <v>0</v>
      </c>
      <c r="BE35" t="s">
        <v>51</v>
      </c>
      <c r="BF35">
        <f t="shared" si="53"/>
        <v>6</v>
      </c>
      <c r="BG35">
        <f t="shared" si="54"/>
        <v>2</v>
      </c>
      <c r="BH35" t="s">
        <v>53</v>
      </c>
      <c r="BI35">
        <f t="shared" si="55"/>
        <v>2</v>
      </c>
      <c r="BJ35" t="s">
        <v>54</v>
      </c>
      <c r="BK35">
        <v>1</v>
      </c>
      <c r="BL35" t="s">
        <v>56</v>
      </c>
      <c r="BM35">
        <v>1</v>
      </c>
      <c r="BN35" t="s">
        <v>55</v>
      </c>
      <c r="BO35">
        <f t="shared" si="56"/>
        <v>6</v>
      </c>
      <c r="BP35">
        <f t="shared" si="57"/>
        <v>1</v>
      </c>
      <c r="BQ35" t="s">
        <v>60</v>
      </c>
      <c r="BR35">
        <f t="shared" si="58"/>
        <v>1</v>
      </c>
      <c r="BS35" t="s">
        <v>58</v>
      </c>
      <c r="BT35">
        <f t="shared" si="59"/>
        <v>1</v>
      </c>
      <c r="BU35" t="s">
        <v>59</v>
      </c>
      <c r="BV35">
        <f t="shared" si="60"/>
        <v>1</v>
      </c>
      <c r="BW35" t="s">
        <v>61</v>
      </c>
      <c r="BX35">
        <f t="shared" si="61"/>
        <v>1</v>
      </c>
      <c r="BY35" t="s">
        <v>57</v>
      </c>
      <c r="BZ35">
        <f t="shared" si="62"/>
        <v>5</v>
      </c>
      <c r="CA35">
        <f t="shared" si="63"/>
        <v>26</v>
      </c>
    </row>
    <row r="36" spans="1:79">
      <c r="A36" t="s">
        <v>83</v>
      </c>
      <c r="B36" t="s">
        <v>63</v>
      </c>
      <c r="C36" t="s">
        <v>48</v>
      </c>
      <c r="D36" t="s">
        <v>49</v>
      </c>
      <c r="E36" t="s">
        <v>189</v>
      </c>
      <c r="F36" t="s">
        <v>203</v>
      </c>
      <c r="J36">
        <v>6</v>
      </c>
      <c r="K36">
        <v>1</v>
      </c>
      <c r="L36">
        <v>1</v>
      </c>
      <c r="M36">
        <v>3</v>
      </c>
      <c r="N36">
        <v>0</v>
      </c>
      <c r="O36">
        <v>5</v>
      </c>
      <c r="P36">
        <v>0</v>
      </c>
      <c r="Q36">
        <f t="shared" si="33"/>
        <v>1</v>
      </c>
      <c r="R36" t="s">
        <v>51</v>
      </c>
      <c r="S36">
        <f t="shared" si="34"/>
        <v>1</v>
      </c>
      <c r="T36" t="s">
        <v>52</v>
      </c>
      <c r="U36">
        <f t="shared" si="35"/>
        <v>2</v>
      </c>
      <c r="V36" t="s">
        <v>52</v>
      </c>
      <c r="W36">
        <f t="shared" si="36"/>
        <v>1</v>
      </c>
      <c r="X36" t="s">
        <v>51</v>
      </c>
      <c r="Y36">
        <f t="shared" si="37"/>
        <v>0</v>
      </c>
      <c r="Z36" t="s">
        <v>52</v>
      </c>
      <c r="AA36">
        <f t="shared" si="38"/>
        <v>2</v>
      </c>
      <c r="AB36" t="s">
        <v>52</v>
      </c>
      <c r="AC36">
        <f t="shared" si="39"/>
        <v>0</v>
      </c>
      <c r="AD36" t="s">
        <v>52</v>
      </c>
      <c r="AE36">
        <f t="shared" si="40"/>
        <v>2</v>
      </c>
      <c r="AF36" t="s">
        <v>52</v>
      </c>
      <c r="AG36">
        <f t="shared" si="41"/>
        <v>2</v>
      </c>
      <c r="AH36" t="s">
        <v>51</v>
      </c>
      <c r="AI36">
        <f t="shared" si="42"/>
        <v>1</v>
      </c>
      <c r="AJ36" t="s">
        <v>52</v>
      </c>
      <c r="AK36">
        <f t="shared" si="43"/>
        <v>12</v>
      </c>
      <c r="AL36">
        <f t="shared" si="44"/>
        <v>2</v>
      </c>
      <c r="AM36" t="s">
        <v>52</v>
      </c>
      <c r="AN36">
        <f t="shared" si="45"/>
        <v>1</v>
      </c>
      <c r="AO36" t="s">
        <v>51</v>
      </c>
      <c r="AP36">
        <f t="shared" si="46"/>
        <v>1</v>
      </c>
      <c r="AQ36" t="s">
        <v>51</v>
      </c>
      <c r="AR36">
        <f t="shared" si="64"/>
        <v>1</v>
      </c>
      <c r="AS36" t="s">
        <v>51</v>
      </c>
      <c r="AT36">
        <f t="shared" si="47"/>
        <v>2</v>
      </c>
      <c r="AU36" t="s">
        <v>52</v>
      </c>
      <c r="AV36">
        <f t="shared" si="48"/>
        <v>1</v>
      </c>
      <c r="AW36" t="s">
        <v>51</v>
      </c>
      <c r="AX36">
        <f t="shared" si="49"/>
        <v>1</v>
      </c>
      <c r="AY36" t="s">
        <v>52</v>
      </c>
      <c r="AZ36">
        <f t="shared" si="50"/>
        <v>1</v>
      </c>
      <c r="BA36" t="s">
        <v>52</v>
      </c>
      <c r="BB36">
        <f t="shared" si="51"/>
        <v>0</v>
      </c>
      <c r="BC36" t="s">
        <v>52</v>
      </c>
      <c r="BD36">
        <f t="shared" si="52"/>
        <v>2</v>
      </c>
      <c r="BE36" t="s">
        <v>52</v>
      </c>
      <c r="BF36">
        <f t="shared" si="53"/>
        <v>12</v>
      </c>
      <c r="BG36">
        <f t="shared" si="54"/>
        <v>2</v>
      </c>
      <c r="BH36" t="s">
        <v>53</v>
      </c>
      <c r="BI36">
        <f t="shared" si="55"/>
        <v>2</v>
      </c>
      <c r="BJ36" t="s">
        <v>54</v>
      </c>
      <c r="BK36">
        <f>IF(BL36="完全终止",2,0)</f>
        <v>2</v>
      </c>
      <c r="BL36" t="s">
        <v>55</v>
      </c>
      <c r="BM36">
        <f>IF(BN36="变格终止",2,0)</f>
        <v>2</v>
      </c>
      <c r="BN36" t="s">
        <v>56</v>
      </c>
      <c r="BO36">
        <f t="shared" si="56"/>
        <v>8</v>
      </c>
      <c r="BP36">
        <f t="shared" si="57"/>
        <v>1</v>
      </c>
      <c r="BQ36" t="s">
        <v>60</v>
      </c>
      <c r="BR36">
        <f t="shared" si="58"/>
        <v>1</v>
      </c>
      <c r="BS36" t="s">
        <v>58</v>
      </c>
      <c r="BT36">
        <f t="shared" si="59"/>
        <v>1</v>
      </c>
      <c r="BU36" t="s">
        <v>59</v>
      </c>
      <c r="BV36">
        <f t="shared" si="60"/>
        <v>1</v>
      </c>
      <c r="BW36" t="s">
        <v>61</v>
      </c>
      <c r="BX36">
        <f t="shared" si="61"/>
        <v>1</v>
      </c>
      <c r="BY36" t="s">
        <v>57</v>
      </c>
      <c r="BZ36">
        <f t="shared" si="62"/>
        <v>5</v>
      </c>
      <c r="CA36">
        <f t="shared" si="63"/>
        <v>37</v>
      </c>
    </row>
    <row r="37" spans="1:79">
      <c r="A37" t="s">
        <v>88</v>
      </c>
      <c r="B37" t="s">
        <v>63</v>
      </c>
      <c r="C37" t="s">
        <v>68</v>
      </c>
      <c r="D37" t="s">
        <v>47</v>
      </c>
      <c r="F37" t="s">
        <v>201</v>
      </c>
      <c r="H37" t="s">
        <v>89</v>
      </c>
      <c r="J37">
        <v>6</v>
      </c>
      <c r="K37">
        <v>1</v>
      </c>
      <c r="L37">
        <v>5</v>
      </c>
      <c r="M37">
        <v>1</v>
      </c>
      <c r="N37">
        <v>2</v>
      </c>
      <c r="O37">
        <v>4</v>
      </c>
      <c r="P37">
        <v>1</v>
      </c>
      <c r="Q37">
        <f t="shared" si="33"/>
        <v>1</v>
      </c>
      <c r="R37" t="s">
        <v>51</v>
      </c>
      <c r="S37">
        <f t="shared" si="34"/>
        <v>1</v>
      </c>
      <c r="T37" t="s">
        <v>52</v>
      </c>
      <c r="U37">
        <f t="shared" si="35"/>
        <v>0</v>
      </c>
      <c r="V37" t="s">
        <v>51</v>
      </c>
      <c r="W37">
        <f t="shared" si="36"/>
        <v>1</v>
      </c>
      <c r="X37" t="s">
        <v>51</v>
      </c>
      <c r="Y37">
        <f t="shared" si="37"/>
        <v>2</v>
      </c>
      <c r="Z37" t="s">
        <v>51</v>
      </c>
      <c r="AA37">
        <f t="shared" si="38"/>
        <v>2</v>
      </c>
      <c r="AB37" t="s">
        <v>52</v>
      </c>
      <c r="AC37">
        <f t="shared" si="39"/>
        <v>1</v>
      </c>
      <c r="AD37" t="s">
        <v>51</v>
      </c>
      <c r="AE37">
        <f t="shared" si="40"/>
        <v>0</v>
      </c>
      <c r="AF37" t="s">
        <v>51</v>
      </c>
      <c r="AG37">
        <f t="shared" si="41"/>
        <v>2</v>
      </c>
      <c r="AH37" t="s">
        <v>51</v>
      </c>
      <c r="AI37">
        <f t="shared" si="42"/>
        <v>1</v>
      </c>
      <c r="AJ37" t="s">
        <v>52</v>
      </c>
      <c r="AK37">
        <f t="shared" si="43"/>
        <v>11</v>
      </c>
      <c r="AL37">
        <f t="shared" si="44"/>
        <v>2</v>
      </c>
      <c r="AM37" t="s">
        <v>52</v>
      </c>
      <c r="AN37">
        <f t="shared" si="45"/>
        <v>1</v>
      </c>
      <c r="AO37" t="s">
        <v>51</v>
      </c>
      <c r="AP37">
        <f t="shared" si="46"/>
        <v>1</v>
      </c>
      <c r="AQ37" t="s">
        <v>51</v>
      </c>
      <c r="AR37">
        <f t="shared" si="64"/>
        <v>1</v>
      </c>
      <c r="AS37" t="s">
        <v>51</v>
      </c>
      <c r="AT37">
        <f t="shared" si="47"/>
        <v>2</v>
      </c>
      <c r="AU37" t="s">
        <v>52</v>
      </c>
      <c r="AV37">
        <f t="shared" si="48"/>
        <v>1</v>
      </c>
      <c r="AW37" t="s">
        <v>51</v>
      </c>
      <c r="AX37">
        <f t="shared" si="49"/>
        <v>0</v>
      </c>
      <c r="AY37" t="s">
        <v>51</v>
      </c>
      <c r="AZ37">
        <f t="shared" si="50"/>
        <v>1</v>
      </c>
      <c r="BA37" t="s">
        <v>52</v>
      </c>
      <c r="BB37">
        <f t="shared" si="51"/>
        <v>0</v>
      </c>
      <c r="BC37" t="s">
        <v>52</v>
      </c>
      <c r="BD37">
        <f t="shared" si="52"/>
        <v>2</v>
      </c>
      <c r="BE37" t="s">
        <v>52</v>
      </c>
      <c r="BF37">
        <f t="shared" si="53"/>
        <v>11</v>
      </c>
      <c r="BG37">
        <f t="shared" si="54"/>
        <v>2</v>
      </c>
      <c r="BH37" t="s">
        <v>53</v>
      </c>
      <c r="BI37">
        <f t="shared" si="55"/>
        <v>2</v>
      </c>
      <c r="BJ37" t="s">
        <v>54</v>
      </c>
      <c r="BK37">
        <f>IF(BL37="完全终止",2,0)</f>
        <v>2</v>
      </c>
      <c r="BL37" t="s">
        <v>55</v>
      </c>
      <c r="BM37">
        <f>IF(BN37="变格终止",2,0)</f>
        <v>2</v>
      </c>
      <c r="BN37" t="s">
        <v>56</v>
      </c>
      <c r="BO37">
        <f t="shared" si="56"/>
        <v>8</v>
      </c>
      <c r="BP37">
        <f t="shared" si="57"/>
        <v>1</v>
      </c>
      <c r="BQ37" t="s">
        <v>60</v>
      </c>
      <c r="BR37">
        <f t="shared" si="58"/>
        <v>1</v>
      </c>
      <c r="BS37" t="s">
        <v>58</v>
      </c>
      <c r="BT37">
        <f t="shared" si="59"/>
        <v>1</v>
      </c>
      <c r="BU37" t="s">
        <v>59</v>
      </c>
      <c r="BV37">
        <f t="shared" si="60"/>
        <v>1</v>
      </c>
      <c r="BW37" t="s">
        <v>61</v>
      </c>
      <c r="BX37">
        <f t="shared" si="61"/>
        <v>1</v>
      </c>
      <c r="BY37" t="s">
        <v>57</v>
      </c>
      <c r="BZ37">
        <f t="shared" si="62"/>
        <v>5</v>
      </c>
      <c r="CA37">
        <f t="shared" si="63"/>
        <v>35</v>
      </c>
    </row>
    <row r="38" spans="1:79">
      <c r="A38" t="s">
        <v>90</v>
      </c>
      <c r="B38" t="s">
        <v>63</v>
      </c>
      <c r="C38" t="s">
        <v>71</v>
      </c>
      <c r="D38" t="s">
        <v>47</v>
      </c>
      <c r="F38" t="s">
        <v>200</v>
      </c>
      <c r="H38" t="s">
        <v>89</v>
      </c>
      <c r="J38">
        <v>6</v>
      </c>
      <c r="K38">
        <v>4</v>
      </c>
      <c r="L38">
        <v>4</v>
      </c>
      <c r="M38">
        <v>3</v>
      </c>
      <c r="N38">
        <v>1</v>
      </c>
      <c r="O38">
        <v>3</v>
      </c>
      <c r="P38">
        <v>0</v>
      </c>
      <c r="Q38">
        <f t="shared" si="33"/>
        <v>1</v>
      </c>
      <c r="R38" t="s">
        <v>51</v>
      </c>
      <c r="S38">
        <f t="shared" si="34"/>
        <v>1</v>
      </c>
      <c r="T38" t="s">
        <v>52</v>
      </c>
      <c r="U38">
        <f t="shared" si="35"/>
        <v>0</v>
      </c>
      <c r="V38" t="s">
        <v>51</v>
      </c>
      <c r="W38">
        <f t="shared" si="36"/>
        <v>1</v>
      </c>
      <c r="X38" t="s">
        <v>51</v>
      </c>
      <c r="Y38">
        <f t="shared" si="37"/>
        <v>2</v>
      </c>
      <c r="Z38" t="s">
        <v>51</v>
      </c>
      <c r="AA38">
        <f t="shared" si="38"/>
        <v>2</v>
      </c>
      <c r="AB38" t="s">
        <v>52</v>
      </c>
      <c r="AC38">
        <f t="shared" si="39"/>
        <v>1</v>
      </c>
      <c r="AD38" t="s">
        <v>51</v>
      </c>
      <c r="AE38">
        <f t="shared" si="40"/>
        <v>2</v>
      </c>
      <c r="AF38" t="s">
        <v>52</v>
      </c>
      <c r="AG38">
        <f t="shared" si="41"/>
        <v>2</v>
      </c>
      <c r="AH38" t="s">
        <v>51</v>
      </c>
      <c r="AI38">
        <f t="shared" si="42"/>
        <v>1</v>
      </c>
      <c r="AJ38" t="s">
        <v>52</v>
      </c>
      <c r="AK38">
        <f t="shared" si="43"/>
        <v>13</v>
      </c>
      <c r="AL38">
        <f t="shared" si="44"/>
        <v>2</v>
      </c>
      <c r="AM38" t="s">
        <v>52</v>
      </c>
      <c r="AN38">
        <f t="shared" si="45"/>
        <v>1</v>
      </c>
      <c r="AO38" t="s">
        <v>51</v>
      </c>
      <c r="AP38">
        <f t="shared" si="46"/>
        <v>1</v>
      </c>
      <c r="AQ38" t="s">
        <v>51</v>
      </c>
      <c r="AR38">
        <f t="shared" si="64"/>
        <v>1</v>
      </c>
      <c r="AS38" t="s">
        <v>51</v>
      </c>
      <c r="AT38">
        <f t="shared" si="47"/>
        <v>0</v>
      </c>
      <c r="AU38" t="s">
        <v>51</v>
      </c>
      <c r="AV38">
        <f t="shared" si="48"/>
        <v>1</v>
      </c>
      <c r="AW38" t="s">
        <v>51</v>
      </c>
      <c r="AX38">
        <f t="shared" si="49"/>
        <v>1</v>
      </c>
      <c r="AY38" t="s">
        <v>52</v>
      </c>
      <c r="AZ38">
        <f t="shared" si="50"/>
        <v>1</v>
      </c>
      <c r="BA38" t="s">
        <v>52</v>
      </c>
      <c r="BB38">
        <f t="shared" si="51"/>
        <v>0</v>
      </c>
      <c r="BC38" t="s">
        <v>52</v>
      </c>
      <c r="BD38">
        <f t="shared" si="52"/>
        <v>2</v>
      </c>
      <c r="BE38" t="s">
        <v>52</v>
      </c>
      <c r="BF38">
        <f t="shared" si="53"/>
        <v>10</v>
      </c>
      <c r="BG38">
        <f t="shared" si="54"/>
        <v>2</v>
      </c>
      <c r="BH38" t="s">
        <v>53</v>
      </c>
      <c r="BI38">
        <f t="shared" si="55"/>
        <v>2</v>
      </c>
      <c r="BJ38" t="s">
        <v>54</v>
      </c>
      <c r="BK38">
        <f>IF(BL38="完全终止",2,0)</f>
        <v>2</v>
      </c>
      <c r="BL38" t="s">
        <v>55</v>
      </c>
      <c r="BM38">
        <f>IF(BN38="变格终止",2,0)</f>
        <v>2</v>
      </c>
      <c r="BN38" t="s">
        <v>56</v>
      </c>
      <c r="BO38">
        <f t="shared" si="56"/>
        <v>8</v>
      </c>
      <c r="BP38">
        <f t="shared" si="57"/>
        <v>1</v>
      </c>
      <c r="BQ38" t="s">
        <v>60</v>
      </c>
      <c r="BR38">
        <f t="shared" si="58"/>
        <v>1</v>
      </c>
      <c r="BS38" t="s">
        <v>58</v>
      </c>
      <c r="BT38">
        <f t="shared" si="59"/>
        <v>1</v>
      </c>
      <c r="BU38" t="s">
        <v>59</v>
      </c>
      <c r="BV38">
        <f t="shared" si="60"/>
        <v>1</v>
      </c>
      <c r="BW38" t="s">
        <v>61</v>
      </c>
      <c r="BX38">
        <f t="shared" si="61"/>
        <v>1</v>
      </c>
      <c r="BY38" t="s">
        <v>57</v>
      </c>
      <c r="BZ38">
        <f t="shared" si="62"/>
        <v>5</v>
      </c>
      <c r="CA38">
        <f t="shared" si="63"/>
        <v>36</v>
      </c>
    </row>
    <row r="39" spans="1:79">
      <c r="A39" t="s">
        <v>91</v>
      </c>
      <c r="B39" t="s">
        <v>63</v>
      </c>
      <c r="C39" t="s">
        <v>68</v>
      </c>
      <c r="D39" t="s">
        <v>47</v>
      </c>
      <c r="F39" t="s">
        <v>221</v>
      </c>
      <c r="H39" t="s">
        <v>89</v>
      </c>
      <c r="J39">
        <v>6</v>
      </c>
      <c r="K39">
        <v>1</v>
      </c>
      <c r="L39">
        <v>5</v>
      </c>
      <c r="M39">
        <v>1</v>
      </c>
      <c r="N39">
        <v>0</v>
      </c>
      <c r="O39">
        <v>1</v>
      </c>
      <c r="P39">
        <v>0</v>
      </c>
      <c r="Q39">
        <f t="shared" si="33"/>
        <v>1</v>
      </c>
      <c r="R39" t="s">
        <v>51</v>
      </c>
      <c r="S39">
        <f t="shared" si="34"/>
        <v>1</v>
      </c>
      <c r="T39" t="s">
        <v>52</v>
      </c>
      <c r="U39">
        <f t="shared" si="35"/>
        <v>2</v>
      </c>
      <c r="V39" t="s">
        <v>52</v>
      </c>
      <c r="W39">
        <f t="shared" si="36"/>
        <v>0</v>
      </c>
      <c r="X39" t="s">
        <v>52</v>
      </c>
      <c r="Y39">
        <f t="shared" si="37"/>
        <v>2</v>
      </c>
      <c r="Z39" t="s">
        <v>51</v>
      </c>
      <c r="AA39">
        <f t="shared" si="38"/>
        <v>0</v>
      </c>
      <c r="AB39" t="s">
        <v>51</v>
      </c>
      <c r="AC39">
        <f t="shared" si="39"/>
        <v>1</v>
      </c>
      <c r="AD39" t="s">
        <v>51</v>
      </c>
      <c r="AE39">
        <f t="shared" si="40"/>
        <v>0</v>
      </c>
      <c r="AF39" t="s">
        <v>51</v>
      </c>
      <c r="AG39">
        <f t="shared" si="41"/>
        <v>2</v>
      </c>
      <c r="AH39" t="s">
        <v>51</v>
      </c>
      <c r="AI39">
        <f t="shared" si="42"/>
        <v>1</v>
      </c>
      <c r="AJ39" t="s">
        <v>52</v>
      </c>
      <c r="AK39">
        <f t="shared" si="43"/>
        <v>10</v>
      </c>
      <c r="AL39">
        <f t="shared" si="44"/>
        <v>0</v>
      </c>
      <c r="AM39" t="s">
        <v>51</v>
      </c>
      <c r="AN39">
        <f t="shared" si="45"/>
        <v>1</v>
      </c>
      <c r="AO39" t="s">
        <v>51</v>
      </c>
      <c r="AP39">
        <f t="shared" si="46"/>
        <v>1</v>
      </c>
      <c r="AQ39" t="s">
        <v>51</v>
      </c>
      <c r="AR39">
        <f t="shared" si="64"/>
        <v>1</v>
      </c>
      <c r="AS39" t="s">
        <v>51</v>
      </c>
      <c r="AT39">
        <f t="shared" si="47"/>
        <v>0</v>
      </c>
      <c r="AU39" t="s">
        <v>51</v>
      </c>
      <c r="AV39">
        <f t="shared" si="48"/>
        <v>1</v>
      </c>
      <c r="AW39" t="s">
        <v>51</v>
      </c>
      <c r="AX39">
        <f t="shared" si="49"/>
        <v>0</v>
      </c>
      <c r="AY39" t="s">
        <v>51</v>
      </c>
      <c r="AZ39">
        <f t="shared" si="50"/>
        <v>0</v>
      </c>
      <c r="BA39" t="s">
        <v>51</v>
      </c>
      <c r="BB39">
        <f t="shared" si="51"/>
        <v>0</v>
      </c>
      <c r="BC39" t="s">
        <v>52</v>
      </c>
      <c r="BD39">
        <f t="shared" si="52"/>
        <v>0</v>
      </c>
      <c r="BE39" t="s">
        <v>51</v>
      </c>
      <c r="BF39">
        <f t="shared" si="53"/>
        <v>4</v>
      </c>
      <c r="BG39">
        <f t="shared" si="54"/>
        <v>2</v>
      </c>
      <c r="BH39" t="s">
        <v>53</v>
      </c>
      <c r="BI39">
        <f t="shared" si="55"/>
        <v>2</v>
      </c>
      <c r="BJ39" t="s">
        <v>54</v>
      </c>
      <c r="BK39">
        <f>IF(BL39="完全终止",2,0)</f>
        <v>2</v>
      </c>
      <c r="BL39" t="s">
        <v>55</v>
      </c>
      <c r="BM39">
        <f>IF(BN39="变格终止",2,0)</f>
        <v>2</v>
      </c>
      <c r="BN39" t="s">
        <v>56</v>
      </c>
      <c r="BO39">
        <f t="shared" si="56"/>
        <v>8</v>
      </c>
      <c r="BP39">
        <f t="shared" si="57"/>
        <v>0</v>
      </c>
      <c r="BQ39" t="s">
        <v>57</v>
      </c>
      <c r="BR39">
        <f t="shared" si="58"/>
        <v>0</v>
      </c>
      <c r="BS39" t="s">
        <v>60</v>
      </c>
      <c r="BT39">
        <f t="shared" si="59"/>
        <v>1</v>
      </c>
      <c r="BU39" t="s">
        <v>59</v>
      </c>
      <c r="BV39">
        <f t="shared" si="60"/>
        <v>0</v>
      </c>
      <c r="BW39" t="s">
        <v>58</v>
      </c>
      <c r="BX39">
        <f t="shared" si="61"/>
        <v>0</v>
      </c>
      <c r="BY39" t="s">
        <v>61</v>
      </c>
      <c r="BZ39">
        <f t="shared" si="62"/>
        <v>1</v>
      </c>
      <c r="CA39">
        <f t="shared" si="63"/>
        <v>23</v>
      </c>
    </row>
    <row r="40" spans="1:79">
      <c r="A40" t="s">
        <v>102</v>
      </c>
      <c r="B40" t="s">
        <v>63</v>
      </c>
      <c r="C40" t="s">
        <v>48</v>
      </c>
      <c r="D40" t="s">
        <v>97</v>
      </c>
      <c r="F40" t="s">
        <v>219</v>
      </c>
      <c r="G40" t="s">
        <v>103</v>
      </c>
      <c r="I40" t="s">
        <v>191</v>
      </c>
      <c r="J40">
        <v>6</v>
      </c>
      <c r="K40">
        <v>1</v>
      </c>
      <c r="L40">
        <v>1</v>
      </c>
      <c r="M40">
        <v>3</v>
      </c>
      <c r="N40">
        <v>4</v>
      </c>
      <c r="O40">
        <v>5</v>
      </c>
      <c r="P40">
        <v>0</v>
      </c>
      <c r="Q40">
        <f t="shared" si="33"/>
        <v>1</v>
      </c>
      <c r="R40" t="s">
        <v>51</v>
      </c>
      <c r="S40">
        <f t="shared" si="34"/>
        <v>1</v>
      </c>
      <c r="T40" t="s">
        <v>52</v>
      </c>
      <c r="U40">
        <f t="shared" si="35"/>
        <v>2</v>
      </c>
      <c r="V40" t="s">
        <v>52</v>
      </c>
      <c r="W40">
        <f t="shared" si="36"/>
        <v>1</v>
      </c>
      <c r="X40" t="s">
        <v>51</v>
      </c>
      <c r="Y40">
        <f t="shared" si="37"/>
        <v>2</v>
      </c>
      <c r="Z40" t="s">
        <v>51</v>
      </c>
      <c r="AA40">
        <f t="shared" si="38"/>
        <v>0</v>
      </c>
      <c r="AB40" t="s">
        <v>51</v>
      </c>
      <c r="AC40">
        <f t="shared" si="39"/>
        <v>1</v>
      </c>
      <c r="AD40" t="s">
        <v>51</v>
      </c>
      <c r="AE40">
        <f t="shared" si="40"/>
        <v>0</v>
      </c>
      <c r="AF40" t="s">
        <v>51</v>
      </c>
      <c r="AG40">
        <f t="shared" si="41"/>
        <v>2</v>
      </c>
      <c r="AH40" t="s">
        <v>51</v>
      </c>
      <c r="AI40">
        <f t="shared" si="42"/>
        <v>1</v>
      </c>
      <c r="AJ40" t="s">
        <v>52</v>
      </c>
      <c r="AK40">
        <f t="shared" si="43"/>
        <v>11</v>
      </c>
      <c r="AL40">
        <f t="shared" si="44"/>
        <v>2</v>
      </c>
      <c r="AM40" t="s">
        <v>52</v>
      </c>
      <c r="AN40">
        <f t="shared" si="45"/>
        <v>0</v>
      </c>
      <c r="AO40" t="s">
        <v>52</v>
      </c>
      <c r="AP40">
        <f t="shared" si="46"/>
        <v>1</v>
      </c>
      <c r="AQ40" t="s">
        <v>51</v>
      </c>
      <c r="AR40">
        <f t="shared" si="64"/>
        <v>1</v>
      </c>
      <c r="AS40" t="s">
        <v>51</v>
      </c>
      <c r="AT40">
        <f t="shared" si="47"/>
        <v>2</v>
      </c>
      <c r="AU40" t="s">
        <v>52</v>
      </c>
      <c r="AV40">
        <f t="shared" si="48"/>
        <v>1</v>
      </c>
      <c r="AW40" t="s">
        <v>51</v>
      </c>
      <c r="AX40">
        <f t="shared" si="49"/>
        <v>1</v>
      </c>
      <c r="AY40" t="s">
        <v>52</v>
      </c>
      <c r="AZ40">
        <f t="shared" si="50"/>
        <v>1</v>
      </c>
      <c r="BA40" t="s">
        <v>52</v>
      </c>
      <c r="BB40">
        <f t="shared" si="51"/>
        <v>2</v>
      </c>
      <c r="BC40" t="s">
        <v>51</v>
      </c>
      <c r="BD40">
        <f t="shared" si="52"/>
        <v>0</v>
      </c>
      <c r="BE40" t="s">
        <v>51</v>
      </c>
      <c r="BF40">
        <f t="shared" si="53"/>
        <v>11</v>
      </c>
      <c r="BG40">
        <f t="shared" si="54"/>
        <v>2</v>
      </c>
      <c r="BH40" t="s">
        <v>53</v>
      </c>
      <c r="BI40">
        <f t="shared" si="55"/>
        <v>2</v>
      </c>
      <c r="BJ40" t="s">
        <v>54</v>
      </c>
      <c r="BK40">
        <v>1</v>
      </c>
      <c r="BL40" t="s">
        <v>56</v>
      </c>
      <c r="BM40">
        <v>1</v>
      </c>
      <c r="BN40" t="s">
        <v>55</v>
      </c>
      <c r="BO40">
        <f t="shared" si="56"/>
        <v>6</v>
      </c>
      <c r="BP40">
        <f t="shared" si="57"/>
        <v>0</v>
      </c>
      <c r="BQ40" t="s">
        <v>61</v>
      </c>
      <c r="BR40">
        <f t="shared" si="58"/>
        <v>0</v>
      </c>
      <c r="BS40" t="s">
        <v>60</v>
      </c>
      <c r="BT40">
        <f t="shared" si="59"/>
        <v>1</v>
      </c>
      <c r="BU40" t="s">
        <v>59</v>
      </c>
      <c r="BV40">
        <f t="shared" si="60"/>
        <v>0</v>
      </c>
      <c r="BW40" t="s">
        <v>58</v>
      </c>
      <c r="BX40">
        <f t="shared" si="61"/>
        <v>1</v>
      </c>
      <c r="BY40" t="s">
        <v>57</v>
      </c>
      <c r="BZ40">
        <f t="shared" si="62"/>
        <v>2</v>
      </c>
      <c r="CA40">
        <f t="shared" si="63"/>
        <v>30</v>
      </c>
    </row>
    <row r="41" spans="1:79">
      <c r="A41" t="s">
        <v>114</v>
      </c>
      <c r="B41" t="s">
        <v>63</v>
      </c>
      <c r="C41" t="s">
        <v>48</v>
      </c>
      <c r="D41" t="s">
        <v>97</v>
      </c>
      <c r="F41" t="s">
        <v>222</v>
      </c>
      <c r="G41" t="s">
        <v>115</v>
      </c>
      <c r="I41" t="s">
        <v>194</v>
      </c>
      <c r="J41">
        <v>6</v>
      </c>
      <c r="K41">
        <v>4</v>
      </c>
      <c r="L41">
        <v>4</v>
      </c>
      <c r="M41">
        <v>3</v>
      </c>
      <c r="N41">
        <v>1</v>
      </c>
      <c r="O41">
        <v>5</v>
      </c>
      <c r="P41">
        <v>0</v>
      </c>
      <c r="Q41">
        <f t="shared" si="33"/>
        <v>1</v>
      </c>
      <c r="R41" t="s">
        <v>51</v>
      </c>
      <c r="S41">
        <f t="shared" si="34"/>
        <v>1</v>
      </c>
      <c r="T41" t="s">
        <v>52</v>
      </c>
      <c r="U41">
        <f t="shared" si="35"/>
        <v>2</v>
      </c>
      <c r="V41" t="s">
        <v>52</v>
      </c>
      <c r="W41">
        <f t="shared" si="36"/>
        <v>1</v>
      </c>
      <c r="X41" t="s">
        <v>51</v>
      </c>
      <c r="Y41">
        <f t="shared" si="37"/>
        <v>2</v>
      </c>
      <c r="Z41" t="s">
        <v>51</v>
      </c>
      <c r="AA41">
        <f t="shared" si="38"/>
        <v>2</v>
      </c>
      <c r="AB41" t="s">
        <v>52</v>
      </c>
      <c r="AC41">
        <f t="shared" si="39"/>
        <v>1</v>
      </c>
      <c r="AD41" t="s">
        <v>51</v>
      </c>
      <c r="AE41">
        <f t="shared" si="40"/>
        <v>2</v>
      </c>
      <c r="AF41" t="s">
        <v>52</v>
      </c>
      <c r="AG41">
        <f t="shared" si="41"/>
        <v>2</v>
      </c>
      <c r="AH41" t="s">
        <v>51</v>
      </c>
      <c r="AI41">
        <f t="shared" si="42"/>
        <v>1</v>
      </c>
      <c r="AJ41" t="s">
        <v>52</v>
      </c>
      <c r="AK41">
        <f t="shared" si="43"/>
        <v>15</v>
      </c>
      <c r="AL41">
        <f t="shared" si="44"/>
        <v>0</v>
      </c>
      <c r="AM41" t="s">
        <v>51</v>
      </c>
      <c r="AN41">
        <f t="shared" si="45"/>
        <v>1</v>
      </c>
      <c r="AO41" t="s">
        <v>51</v>
      </c>
      <c r="AP41">
        <f t="shared" si="46"/>
        <v>1</v>
      </c>
      <c r="AQ41" t="s">
        <v>51</v>
      </c>
      <c r="AR41">
        <f t="shared" si="64"/>
        <v>1</v>
      </c>
      <c r="AS41" t="s">
        <v>51</v>
      </c>
      <c r="AT41">
        <f t="shared" si="47"/>
        <v>2</v>
      </c>
      <c r="AU41" t="s">
        <v>52</v>
      </c>
      <c r="AV41">
        <f t="shared" si="48"/>
        <v>1</v>
      </c>
      <c r="AW41" t="s">
        <v>51</v>
      </c>
      <c r="AX41">
        <f t="shared" si="49"/>
        <v>1</v>
      </c>
      <c r="AY41" t="s">
        <v>52</v>
      </c>
      <c r="AZ41">
        <f t="shared" si="50"/>
        <v>1</v>
      </c>
      <c r="BA41" t="s">
        <v>52</v>
      </c>
      <c r="BB41">
        <f t="shared" si="51"/>
        <v>2</v>
      </c>
      <c r="BC41" t="s">
        <v>51</v>
      </c>
      <c r="BD41">
        <f t="shared" si="52"/>
        <v>2</v>
      </c>
      <c r="BE41" t="s">
        <v>52</v>
      </c>
      <c r="BF41">
        <f t="shared" si="53"/>
        <v>12</v>
      </c>
      <c r="BG41">
        <f t="shared" si="54"/>
        <v>0</v>
      </c>
      <c r="BH41" t="s">
        <v>55</v>
      </c>
      <c r="BI41">
        <f t="shared" si="55"/>
        <v>2</v>
      </c>
      <c r="BJ41" t="s">
        <v>54</v>
      </c>
      <c r="BK41">
        <v>1</v>
      </c>
      <c r="BL41" t="s">
        <v>56</v>
      </c>
      <c r="BM41">
        <f>IF(BN41="变格终止",2,0)</f>
        <v>0</v>
      </c>
      <c r="BN41" t="s">
        <v>53</v>
      </c>
      <c r="BO41">
        <f t="shared" si="56"/>
        <v>3</v>
      </c>
      <c r="BP41">
        <f t="shared" si="57"/>
        <v>0</v>
      </c>
      <c r="BQ41" t="s">
        <v>58</v>
      </c>
      <c r="BR41">
        <f t="shared" si="58"/>
        <v>0</v>
      </c>
      <c r="BS41" t="s">
        <v>59</v>
      </c>
      <c r="BT41">
        <f t="shared" si="59"/>
        <v>0</v>
      </c>
      <c r="BU41" t="s">
        <v>61</v>
      </c>
      <c r="BV41">
        <f t="shared" si="60"/>
        <v>0</v>
      </c>
      <c r="BW41" t="s">
        <v>60</v>
      </c>
      <c r="BX41">
        <f t="shared" si="61"/>
        <v>1</v>
      </c>
      <c r="BY41" t="s">
        <v>57</v>
      </c>
      <c r="BZ41">
        <f t="shared" si="62"/>
        <v>1</v>
      </c>
      <c r="CA41">
        <f t="shared" si="63"/>
        <v>31</v>
      </c>
    </row>
    <row r="42" spans="1:79">
      <c r="A42" t="s">
        <v>116</v>
      </c>
      <c r="B42" t="s">
        <v>63</v>
      </c>
      <c r="C42" t="s">
        <v>68</v>
      </c>
      <c r="D42" t="s">
        <v>97</v>
      </c>
      <c r="F42" t="s">
        <v>200</v>
      </c>
      <c r="G42" t="s">
        <v>117</v>
      </c>
      <c r="I42" t="s">
        <v>192</v>
      </c>
      <c r="J42">
        <v>6</v>
      </c>
      <c r="K42">
        <v>4</v>
      </c>
      <c r="L42">
        <v>4</v>
      </c>
      <c r="M42">
        <v>3</v>
      </c>
      <c r="N42">
        <v>1</v>
      </c>
      <c r="O42">
        <v>5</v>
      </c>
      <c r="P42">
        <v>0</v>
      </c>
      <c r="Q42">
        <f t="shared" si="33"/>
        <v>1</v>
      </c>
      <c r="R42" t="s">
        <v>51</v>
      </c>
      <c r="S42">
        <f t="shared" si="34"/>
        <v>1</v>
      </c>
      <c r="T42" t="s">
        <v>52</v>
      </c>
      <c r="U42">
        <f t="shared" si="35"/>
        <v>2</v>
      </c>
      <c r="V42" t="s">
        <v>52</v>
      </c>
      <c r="W42">
        <f t="shared" si="36"/>
        <v>1</v>
      </c>
      <c r="X42" t="s">
        <v>51</v>
      </c>
      <c r="Y42">
        <f t="shared" si="37"/>
        <v>2</v>
      </c>
      <c r="Z42" t="s">
        <v>51</v>
      </c>
      <c r="AA42">
        <f t="shared" si="38"/>
        <v>2</v>
      </c>
      <c r="AB42" t="s">
        <v>52</v>
      </c>
      <c r="AC42">
        <f t="shared" si="39"/>
        <v>1</v>
      </c>
      <c r="AD42" t="s">
        <v>51</v>
      </c>
      <c r="AE42">
        <f t="shared" si="40"/>
        <v>0</v>
      </c>
      <c r="AF42" t="s">
        <v>51</v>
      </c>
      <c r="AG42">
        <f t="shared" si="41"/>
        <v>2</v>
      </c>
      <c r="AH42" t="s">
        <v>51</v>
      </c>
      <c r="AI42">
        <f t="shared" si="42"/>
        <v>1</v>
      </c>
      <c r="AJ42" t="s">
        <v>52</v>
      </c>
      <c r="AK42">
        <f t="shared" si="43"/>
        <v>13</v>
      </c>
      <c r="AL42">
        <f t="shared" si="44"/>
        <v>0</v>
      </c>
      <c r="AM42" t="s">
        <v>51</v>
      </c>
      <c r="AN42">
        <f t="shared" si="45"/>
        <v>1</v>
      </c>
      <c r="AO42" t="s">
        <v>51</v>
      </c>
      <c r="AP42">
        <f t="shared" si="46"/>
        <v>1</v>
      </c>
      <c r="AQ42" t="s">
        <v>51</v>
      </c>
      <c r="AR42">
        <f t="shared" si="64"/>
        <v>1</v>
      </c>
      <c r="AS42" t="s">
        <v>51</v>
      </c>
      <c r="AT42">
        <f t="shared" si="47"/>
        <v>0</v>
      </c>
      <c r="AU42" t="s">
        <v>51</v>
      </c>
      <c r="AV42">
        <f t="shared" si="48"/>
        <v>1</v>
      </c>
      <c r="AW42" t="s">
        <v>51</v>
      </c>
      <c r="AX42">
        <f t="shared" si="49"/>
        <v>1</v>
      </c>
      <c r="AY42" t="s">
        <v>52</v>
      </c>
      <c r="AZ42">
        <f t="shared" si="50"/>
        <v>1</v>
      </c>
      <c r="BA42" t="s">
        <v>52</v>
      </c>
      <c r="BB42">
        <f t="shared" si="51"/>
        <v>2</v>
      </c>
      <c r="BC42" t="s">
        <v>51</v>
      </c>
      <c r="BD42">
        <f t="shared" si="52"/>
        <v>2</v>
      </c>
      <c r="BE42" t="s">
        <v>52</v>
      </c>
      <c r="BF42">
        <f t="shared" si="53"/>
        <v>10</v>
      </c>
      <c r="BG42">
        <f t="shared" si="54"/>
        <v>0</v>
      </c>
      <c r="BH42" t="s">
        <v>54</v>
      </c>
      <c r="BI42">
        <f t="shared" si="55"/>
        <v>0</v>
      </c>
      <c r="BJ42" t="s">
        <v>53</v>
      </c>
      <c r="BK42">
        <f>IF(BL42="完全终止",2,0)</f>
        <v>2</v>
      </c>
      <c r="BL42" t="s">
        <v>55</v>
      </c>
      <c r="BM42">
        <f>IF(BN42="变格终止",2,0)</f>
        <v>0</v>
      </c>
      <c r="BN42" t="s">
        <v>53</v>
      </c>
      <c r="BO42">
        <f t="shared" si="56"/>
        <v>2</v>
      </c>
      <c r="BP42">
        <f t="shared" si="57"/>
        <v>1</v>
      </c>
      <c r="BQ42" t="s">
        <v>60</v>
      </c>
      <c r="BR42">
        <f t="shared" si="58"/>
        <v>0</v>
      </c>
      <c r="BS42" t="s">
        <v>61</v>
      </c>
      <c r="BT42">
        <f t="shared" si="59"/>
        <v>0</v>
      </c>
      <c r="BU42" t="s">
        <v>57</v>
      </c>
      <c r="BV42">
        <f t="shared" si="60"/>
        <v>1</v>
      </c>
      <c r="BW42" t="s">
        <v>61</v>
      </c>
      <c r="BX42">
        <f t="shared" si="61"/>
        <v>0</v>
      </c>
      <c r="BY42" t="s">
        <v>59</v>
      </c>
      <c r="BZ42">
        <f t="shared" si="62"/>
        <v>2</v>
      </c>
      <c r="CA42">
        <f t="shared" si="63"/>
        <v>27</v>
      </c>
    </row>
    <row r="43" spans="1:79">
      <c r="A43" t="s">
        <v>249</v>
      </c>
      <c r="B43" t="s">
        <v>63</v>
      </c>
      <c r="C43" t="s">
        <v>76</v>
      </c>
      <c r="D43" t="s">
        <v>47</v>
      </c>
      <c r="H43" t="s">
        <v>89</v>
      </c>
      <c r="J43">
        <v>6</v>
      </c>
      <c r="K43">
        <v>1</v>
      </c>
      <c r="L43">
        <v>1</v>
      </c>
      <c r="M43">
        <v>1</v>
      </c>
      <c r="N43">
        <v>3</v>
      </c>
      <c r="O43">
        <v>4</v>
      </c>
      <c r="P43">
        <v>0</v>
      </c>
      <c r="Q43">
        <f t="shared" si="33"/>
        <v>1</v>
      </c>
      <c r="R43" t="s">
        <v>51</v>
      </c>
      <c r="S43">
        <f t="shared" si="34"/>
        <v>1</v>
      </c>
      <c r="T43" t="s">
        <v>52</v>
      </c>
      <c r="U43">
        <f t="shared" si="35"/>
        <v>2</v>
      </c>
      <c r="V43" t="s">
        <v>52</v>
      </c>
      <c r="W43">
        <f t="shared" si="36"/>
        <v>1</v>
      </c>
      <c r="X43" t="s">
        <v>51</v>
      </c>
      <c r="Y43">
        <f t="shared" si="37"/>
        <v>2</v>
      </c>
      <c r="Z43" t="s">
        <v>51</v>
      </c>
      <c r="AA43">
        <f t="shared" si="38"/>
        <v>0</v>
      </c>
      <c r="AB43" t="s">
        <v>51</v>
      </c>
      <c r="AC43">
        <f t="shared" si="39"/>
        <v>1</v>
      </c>
      <c r="AD43" t="s">
        <v>51</v>
      </c>
      <c r="AE43">
        <f t="shared" si="40"/>
        <v>2</v>
      </c>
      <c r="AF43" t="s">
        <v>52</v>
      </c>
      <c r="AG43">
        <f t="shared" si="41"/>
        <v>2</v>
      </c>
      <c r="AH43" t="s">
        <v>51</v>
      </c>
      <c r="AI43">
        <f t="shared" si="42"/>
        <v>1</v>
      </c>
      <c r="AJ43" t="s">
        <v>52</v>
      </c>
      <c r="AK43">
        <f t="shared" si="43"/>
        <v>13</v>
      </c>
      <c r="AL43">
        <f t="shared" si="44"/>
        <v>2</v>
      </c>
      <c r="AM43" t="s">
        <v>52</v>
      </c>
      <c r="AN43">
        <f t="shared" si="45"/>
        <v>1</v>
      </c>
      <c r="AO43" t="s">
        <v>51</v>
      </c>
      <c r="AP43">
        <f t="shared" si="46"/>
        <v>1</v>
      </c>
      <c r="AQ43" t="s">
        <v>51</v>
      </c>
      <c r="AR43">
        <f t="shared" si="64"/>
        <v>1</v>
      </c>
      <c r="AS43" t="s">
        <v>51</v>
      </c>
      <c r="AT43">
        <f t="shared" si="47"/>
        <v>2</v>
      </c>
      <c r="AU43" t="s">
        <v>52</v>
      </c>
      <c r="AV43">
        <f t="shared" si="48"/>
        <v>1</v>
      </c>
      <c r="AW43" t="s">
        <v>51</v>
      </c>
      <c r="AX43">
        <f t="shared" si="49"/>
        <v>1</v>
      </c>
      <c r="AY43" t="s">
        <v>52</v>
      </c>
      <c r="AZ43">
        <f t="shared" si="50"/>
        <v>1</v>
      </c>
      <c r="BA43" t="s">
        <v>52</v>
      </c>
      <c r="BB43">
        <f t="shared" si="51"/>
        <v>0</v>
      </c>
      <c r="BC43" t="s">
        <v>52</v>
      </c>
      <c r="BD43">
        <f t="shared" si="52"/>
        <v>2</v>
      </c>
      <c r="BE43" t="s">
        <v>52</v>
      </c>
      <c r="BF43">
        <f t="shared" si="53"/>
        <v>12</v>
      </c>
      <c r="BG43">
        <f t="shared" si="54"/>
        <v>2</v>
      </c>
      <c r="BH43" t="s">
        <v>53</v>
      </c>
      <c r="BI43">
        <f t="shared" si="55"/>
        <v>2</v>
      </c>
      <c r="BJ43" t="s">
        <v>54</v>
      </c>
      <c r="BK43">
        <v>1</v>
      </c>
      <c r="BL43" t="s">
        <v>56</v>
      </c>
      <c r="BM43">
        <v>1</v>
      </c>
      <c r="BN43" t="s">
        <v>55</v>
      </c>
      <c r="BO43">
        <f t="shared" si="56"/>
        <v>6</v>
      </c>
      <c r="BP43">
        <f t="shared" si="57"/>
        <v>1</v>
      </c>
      <c r="BQ43" t="s">
        <v>60</v>
      </c>
      <c r="BR43">
        <f t="shared" si="58"/>
        <v>1</v>
      </c>
      <c r="BS43" t="s">
        <v>58</v>
      </c>
      <c r="BT43">
        <f t="shared" si="59"/>
        <v>1</v>
      </c>
      <c r="BU43" t="s">
        <v>59</v>
      </c>
      <c r="BV43">
        <f t="shared" si="60"/>
        <v>1</v>
      </c>
      <c r="BW43" t="s">
        <v>61</v>
      </c>
      <c r="BX43">
        <f t="shared" si="61"/>
        <v>1</v>
      </c>
      <c r="BY43" t="s">
        <v>57</v>
      </c>
      <c r="BZ43">
        <f t="shared" si="62"/>
        <v>5</v>
      </c>
      <c r="CA43">
        <f t="shared" si="63"/>
        <v>36</v>
      </c>
    </row>
    <row r="44" spans="1:79">
      <c r="A44" t="s">
        <v>92</v>
      </c>
      <c r="B44" t="s">
        <v>63</v>
      </c>
      <c r="C44" t="s">
        <v>48</v>
      </c>
      <c r="D44" t="s">
        <v>47</v>
      </c>
      <c r="F44" t="s">
        <v>223</v>
      </c>
      <c r="H44" t="s">
        <v>93</v>
      </c>
      <c r="I44" s="1" t="s">
        <v>190</v>
      </c>
      <c r="J44">
        <v>7</v>
      </c>
      <c r="K44">
        <v>4</v>
      </c>
      <c r="L44">
        <v>4</v>
      </c>
      <c r="M44">
        <v>2</v>
      </c>
      <c r="N44">
        <v>3</v>
      </c>
      <c r="O44">
        <v>5</v>
      </c>
      <c r="P44">
        <v>0</v>
      </c>
      <c r="Q44">
        <f t="shared" si="33"/>
        <v>1</v>
      </c>
      <c r="R44" t="s">
        <v>51</v>
      </c>
      <c r="S44">
        <f t="shared" si="34"/>
        <v>1</v>
      </c>
      <c r="T44" t="s">
        <v>52</v>
      </c>
      <c r="U44">
        <f t="shared" si="35"/>
        <v>0</v>
      </c>
      <c r="V44" t="s">
        <v>51</v>
      </c>
      <c r="W44">
        <f t="shared" si="36"/>
        <v>1</v>
      </c>
      <c r="X44" t="s">
        <v>51</v>
      </c>
      <c r="Y44">
        <f t="shared" si="37"/>
        <v>2</v>
      </c>
      <c r="Z44" t="s">
        <v>51</v>
      </c>
      <c r="AA44">
        <f t="shared" si="38"/>
        <v>0</v>
      </c>
      <c r="AB44" t="s">
        <v>51</v>
      </c>
      <c r="AC44">
        <f t="shared" si="39"/>
        <v>1</v>
      </c>
      <c r="AD44" t="s">
        <v>51</v>
      </c>
      <c r="AE44">
        <f t="shared" si="40"/>
        <v>2</v>
      </c>
      <c r="AF44" t="s">
        <v>52</v>
      </c>
      <c r="AG44">
        <f t="shared" si="41"/>
        <v>2</v>
      </c>
      <c r="AH44" t="s">
        <v>51</v>
      </c>
      <c r="AI44">
        <f t="shared" si="42"/>
        <v>1</v>
      </c>
      <c r="AJ44" t="s">
        <v>52</v>
      </c>
      <c r="AK44">
        <f t="shared" si="43"/>
        <v>11</v>
      </c>
      <c r="AL44">
        <f t="shared" si="44"/>
        <v>0</v>
      </c>
      <c r="AM44" t="s">
        <v>51</v>
      </c>
      <c r="AN44">
        <f t="shared" si="45"/>
        <v>1</v>
      </c>
      <c r="AO44" t="s">
        <v>51</v>
      </c>
      <c r="AP44">
        <f t="shared" si="46"/>
        <v>1</v>
      </c>
      <c r="AQ44" t="s">
        <v>51</v>
      </c>
      <c r="AR44">
        <f t="shared" si="64"/>
        <v>1</v>
      </c>
      <c r="AS44" t="s">
        <v>51</v>
      </c>
      <c r="AT44">
        <f t="shared" si="47"/>
        <v>2</v>
      </c>
      <c r="AU44" t="s">
        <v>52</v>
      </c>
      <c r="AV44">
        <f t="shared" si="48"/>
        <v>1</v>
      </c>
      <c r="AW44" t="s">
        <v>51</v>
      </c>
      <c r="AX44">
        <f t="shared" si="49"/>
        <v>1</v>
      </c>
      <c r="AY44" t="s">
        <v>52</v>
      </c>
      <c r="AZ44">
        <f t="shared" si="50"/>
        <v>1</v>
      </c>
      <c r="BA44" t="s">
        <v>52</v>
      </c>
      <c r="BB44">
        <f t="shared" si="51"/>
        <v>2</v>
      </c>
      <c r="BC44" t="s">
        <v>51</v>
      </c>
      <c r="BD44">
        <f t="shared" si="52"/>
        <v>2</v>
      </c>
      <c r="BE44" t="s">
        <v>52</v>
      </c>
      <c r="BF44">
        <f t="shared" si="53"/>
        <v>12</v>
      </c>
      <c r="BG44">
        <f t="shared" si="54"/>
        <v>0</v>
      </c>
      <c r="BH44" t="s">
        <v>56</v>
      </c>
      <c r="BI44">
        <f t="shared" si="55"/>
        <v>0</v>
      </c>
      <c r="BJ44" t="s">
        <v>53</v>
      </c>
      <c r="BK44">
        <f>IF(BL44="完全终止",2,0)</f>
        <v>2</v>
      </c>
      <c r="BL44" t="s">
        <v>55</v>
      </c>
      <c r="BM44">
        <f t="shared" ref="BM44:BM49" si="65">IF(BN44="变格终止",2,0)</f>
        <v>0</v>
      </c>
      <c r="BN44" t="s">
        <v>54</v>
      </c>
      <c r="BO44">
        <f t="shared" si="56"/>
        <v>2</v>
      </c>
      <c r="BP44">
        <f t="shared" si="57"/>
        <v>0</v>
      </c>
      <c r="BQ44" t="s">
        <v>61</v>
      </c>
      <c r="BR44">
        <f t="shared" si="58"/>
        <v>1</v>
      </c>
      <c r="BS44" t="s">
        <v>58</v>
      </c>
      <c r="BT44">
        <f t="shared" si="59"/>
        <v>1</v>
      </c>
      <c r="BU44" t="s">
        <v>59</v>
      </c>
      <c r="BV44">
        <f t="shared" si="60"/>
        <v>0</v>
      </c>
      <c r="BW44" t="s">
        <v>57</v>
      </c>
      <c r="BX44">
        <f t="shared" si="61"/>
        <v>0</v>
      </c>
      <c r="BY44" t="s">
        <v>60</v>
      </c>
      <c r="BZ44">
        <f t="shared" si="62"/>
        <v>2</v>
      </c>
      <c r="CA44">
        <f t="shared" si="63"/>
        <v>27</v>
      </c>
    </row>
    <row r="45" spans="1:79">
      <c r="A45" t="s">
        <v>100</v>
      </c>
      <c r="B45" t="s">
        <v>63</v>
      </c>
      <c r="C45" t="s">
        <v>48</v>
      </c>
      <c r="D45" t="s">
        <v>97</v>
      </c>
      <c r="F45" t="s">
        <v>200</v>
      </c>
      <c r="I45" t="s">
        <v>198</v>
      </c>
      <c r="J45">
        <v>7</v>
      </c>
      <c r="K45">
        <v>1</v>
      </c>
      <c r="L45">
        <v>1</v>
      </c>
      <c r="M45">
        <v>1</v>
      </c>
      <c r="N45">
        <v>4</v>
      </c>
      <c r="O45">
        <v>5</v>
      </c>
      <c r="P45">
        <v>0</v>
      </c>
      <c r="Q45">
        <f t="shared" si="33"/>
        <v>1</v>
      </c>
      <c r="R45" t="s">
        <v>51</v>
      </c>
      <c r="S45">
        <f t="shared" si="34"/>
        <v>1</v>
      </c>
      <c r="T45" t="s">
        <v>52</v>
      </c>
      <c r="U45">
        <f t="shared" si="35"/>
        <v>0</v>
      </c>
      <c r="V45" t="s">
        <v>51</v>
      </c>
      <c r="W45">
        <f t="shared" si="36"/>
        <v>1</v>
      </c>
      <c r="X45" t="s">
        <v>51</v>
      </c>
      <c r="Y45">
        <f t="shared" si="37"/>
        <v>2</v>
      </c>
      <c r="Z45" t="s">
        <v>51</v>
      </c>
      <c r="AA45">
        <f t="shared" si="38"/>
        <v>2</v>
      </c>
      <c r="AB45" t="s">
        <v>52</v>
      </c>
      <c r="AC45">
        <f t="shared" si="39"/>
        <v>1</v>
      </c>
      <c r="AD45" t="s">
        <v>51</v>
      </c>
      <c r="AE45">
        <f t="shared" si="40"/>
        <v>2</v>
      </c>
      <c r="AF45" t="s">
        <v>52</v>
      </c>
      <c r="AG45">
        <f t="shared" si="41"/>
        <v>2</v>
      </c>
      <c r="AH45" t="s">
        <v>51</v>
      </c>
      <c r="AI45">
        <f t="shared" si="42"/>
        <v>1</v>
      </c>
      <c r="AJ45" t="s">
        <v>52</v>
      </c>
      <c r="AK45">
        <f t="shared" si="43"/>
        <v>13</v>
      </c>
      <c r="AL45">
        <f t="shared" si="44"/>
        <v>2</v>
      </c>
      <c r="AM45" t="s">
        <v>52</v>
      </c>
      <c r="AN45">
        <f t="shared" si="45"/>
        <v>1</v>
      </c>
      <c r="AO45" t="s">
        <v>51</v>
      </c>
      <c r="AP45">
        <f t="shared" si="46"/>
        <v>1</v>
      </c>
      <c r="AQ45" t="s">
        <v>51</v>
      </c>
      <c r="AR45">
        <f t="shared" si="64"/>
        <v>1</v>
      </c>
      <c r="AS45" t="s">
        <v>51</v>
      </c>
      <c r="AT45">
        <f t="shared" si="47"/>
        <v>2</v>
      </c>
      <c r="AU45" t="s">
        <v>52</v>
      </c>
      <c r="AV45">
        <f t="shared" si="48"/>
        <v>1</v>
      </c>
      <c r="AW45" t="s">
        <v>51</v>
      </c>
      <c r="AX45">
        <f t="shared" si="49"/>
        <v>1</v>
      </c>
      <c r="AY45" t="s">
        <v>52</v>
      </c>
      <c r="AZ45">
        <f t="shared" si="50"/>
        <v>1</v>
      </c>
      <c r="BA45" t="s">
        <v>52</v>
      </c>
      <c r="BB45">
        <f t="shared" si="51"/>
        <v>2</v>
      </c>
      <c r="BC45" t="s">
        <v>51</v>
      </c>
      <c r="BD45">
        <f t="shared" si="52"/>
        <v>0</v>
      </c>
      <c r="BE45" t="s">
        <v>51</v>
      </c>
      <c r="BF45">
        <f t="shared" si="53"/>
        <v>12</v>
      </c>
      <c r="BG45">
        <f t="shared" si="54"/>
        <v>0</v>
      </c>
      <c r="BH45" t="s">
        <v>55</v>
      </c>
      <c r="BI45">
        <f t="shared" si="55"/>
        <v>2</v>
      </c>
      <c r="BJ45" t="s">
        <v>54</v>
      </c>
      <c r="BK45">
        <v>1</v>
      </c>
      <c r="BL45" t="s">
        <v>56</v>
      </c>
      <c r="BM45">
        <f t="shared" si="65"/>
        <v>0</v>
      </c>
      <c r="BN45" t="s">
        <v>53</v>
      </c>
      <c r="BO45">
        <f t="shared" si="56"/>
        <v>3</v>
      </c>
      <c r="BP45">
        <f t="shared" si="57"/>
        <v>1</v>
      </c>
      <c r="BQ45" t="s">
        <v>60</v>
      </c>
      <c r="BR45">
        <f t="shared" si="58"/>
        <v>1</v>
      </c>
      <c r="BS45" t="s">
        <v>58</v>
      </c>
      <c r="BT45">
        <f t="shared" si="59"/>
        <v>1</v>
      </c>
      <c r="BU45" t="s">
        <v>59</v>
      </c>
      <c r="BV45">
        <f t="shared" si="60"/>
        <v>1</v>
      </c>
      <c r="BW45" t="s">
        <v>61</v>
      </c>
      <c r="BX45">
        <f t="shared" si="61"/>
        <v>1</v>
      </c>
      <c r="BY45" t="s">
        <v>57</v>
      </c>
      <c r="BZ45">
        <f t="shared" si="62"/>
        <v>5</v>
      </c>
      <c r="CA45">
        <f t="shared" si="63"/>
        <v>33</v>
      </c>
    </row>
    <row r="46" spans="1:79">
      <c r="A46" t="s">
        <v>102</v>
      </c>
      <c r="B46" t="s">
        <v>63</v>
      </c>
      <c r="C46" t="s">
        <v>76</v>
      </c>
      <c r="D46" t="s">
        <v>97</v>
      </c>
      <c r="F46" t="s">
        <v>219</v>
      </c>
      <c r="J46">
        <v>7</v>
      </c>
      <c r="K46">
        <v>1</v>
      </c>
      <c r="L46">
        <v>1</v>
      </c>
      <c r="M46">
        <v>2</v>
      </c>
      <c r="N46">
        <v>4</v>
      </c>
      <c r="O46">
        <v>4</v>
      </c>
      <c r="P46">
        <v>0</v>
      </c>
      <c r="Q46">
        <f t="shared" si="33"/>
        <v>1</v>
      </c>
      <c r="R46" t="s">
        <v>51</v>
      </c>
      <c r="S46">
        <f t="shared" si="34"/>
        <v>1</v>
      </c>
      <c r="T46" t="s">
        <v>52</v>
      </c>
      <c r="U46">
        <f t="shared" si="35"/>
        <v>2</v>
      </c>
      <c r="V46" t="s">
        <v>52</v>
      </c>
      <c r="W46">
        <f t="shared" si="36"/>
        <v>1</v>
      </c>
      <c r="X46" t="s">
        <v>51</v>
      </c>
      <c r="Y46">
        <f t="shared" si="37"/>
        <v>2</v>
      </c>
      <c r="Z46" t="s">
        <v>51</v>
      </c>
      <c r="AA46">
        <f t="shared" si="38"/>
        <v>0</v>
      </c>
      <c r="AB46" t="s">
        <v>51</v>
      </c>
      <c r="AC46">
        <f t="shared" si="39"/>
        <v>1</v>
      </c>
      <c r="AD46" t="s">
        <v>51</v>
      </c>
      <c r="AE46">
        <f t="shared" si="40"/>
        <v>0</v>
      </c>
      <c r="AF46" t="s">
        <v>51</v>
      </c>
      <c r="AG46">
        <f t="shared" si="41"/>
        <v>2</v>
      </c>
      <c r="AH46" t="s">
        <v>51</v>
      </c>
      <c r="AI46">
        <f t="shared" si="42"/>
        <v>1</v>
      </c>
      <c r="AJ46" t="s">
        <v>52</v>
      </c>
      <c r="AK46">
        <f t="shared" si="43"/>
        <v>11</v>
      </c>
      <c r="AL46">
        <f t="shared" si="44"/>
        <v>0</v>
      </c>
      <c r="AM46" t="s">
        <v>51</v>
      </c>
      <c r="AN46">
        <f t="shared" si="45"/>
        <v>1</v>
      </c>
      <c r="AO46" t="s">
        <v>51</v>
      </c>
      <c r="AP46">
        <f t="shared" si="46"/>
        <v>1</v>
      </c>
      <c r="AQ46" t="s">
        <v>51</v>
      </c>
      <c r="AR46">
        <f t="shared" si="64"/>
        <v>1</v>
      </c>
      <c r="AS46" t="s">
        <v>51</v>
      </c>
      <c r="AT46">
        <f t="shared" si="47"/>
        <v>2</v>
      </c>
      <c r="AU46" t="s">
        <v>52</v>
      </c>
      <c r="AV46">
        <f t="shared" si="48"/>
        <v>1</v>
      </c>
      <c r="AW46" t="s">
        <v>51</v>
      </c>
      <c r="AX46">
        <f t="shared" si="49"/>
        <v>1</v>
      </c>
      <c r="AY46" t="s">
        <v>52</v>
      </c>
      <c r="AZ46">
        <f t="shared" si="50"/>
        <v>1</v>
      </c>
      <c r="BA46" t="s">
        <v>52</v>
      </c>
      <c r="BB46">
        <f t="shared" si="51"/>
        <v>2</v>
      </c>
      <c r="BC46" t="s">
        <v>51</v>
      </c>
      <c r="BD46">
        <f t="shared" si="52"/>
        <v>0</v>
      </c>
      <c r="BE46" t="s">
        <v>51</v>
      </c>
      <c r="BF46">
        <f t="shared" si="53"/>
        <v>10</v>
      </c>
      <c r="BG46">
        <f t="shared" si="54"/>
        <v>0</v>
      </c>
      <c r="BH46" t="s">
        <v>55</v>
      </c>
      <c r="BI46">
        <f t="shared" si="55"/>
        <v>0</v>
      </c>
      <c r="BJ46" t="s">
        <v>56</v>
      </c>
      <c r="BK46">
        <f>IF(BL46="完全终止",2,0)</f>
        <v>0</v>
      </c>
      <c r="BL46" t="s">
        <v>53</v>
      </c>
      <c r="BM46">
        <f t="shared" si="65"/>
        <v>0</v>
      </c>
      <c r="BN46" t="s">
        <v>54</v>
      </c>
      <c r="BO46">
        <f t="shared" si="56"/>
        <v>0</v>
      </c>
      <c r="BP46">
        <f t="shared" si="57"/>
        <v>1</v>
      </c>
      <c r="BQ46" t="s">
        <v>60</v>
      </c>
      <c r="BR46">
        <f t="shared" si="58"/>
        <v>0</v>
      </c>
      <c r="BS46" t="s">
        <v>61</v>
      </c>
      <c r="BT46">
        <f t="shared" si="59"/>
        <v>1</v>
      </c>
      <c r="BU46" t="s">
        <v>59</v>
      </c>
      <c r="BV46">
        <f t="shared" si="60"/>
        <v>0</v>
      </c>
      <c r="BW46" t="s">
        <v>58</v>
      </c>
      <c r="BX46">
        <f t="shared" si="61"/>
        <v>1</v>
      </c>
      <c r="BY46" t="s">
        <v>57</v>
      </c>
      <c r="BZ46">
        <f t="shared" si="62"/>
        <v>3</v>
      </c>
      <c r="CA46">
        <f t="shared" si="63"/>
        <v>24</v>
      </c>
    </row>
    <row r="47" spans="1:79">
      <c r="A47" t="s">
        <v>110</v>
      </c>
      <c r="B47" t="s">
        <v>63</v>
      </c>
      <c r="C47" t="s">
        <v>68</v>
      </c>
      <c r="D47" t="s">
        <v>97</v>
      </c>
      <c r="F47" t="s">
        <v>200</v>
      </c>
      <c r="J47">
        <v>7</v>
      </c>
      <c r="K47">
        <v>4</v>
      </c>
      <c r="L47">
        <v>5</v>
      </c>
      <c r="M47">
        <v>2</v>
      </c>
      <c r="N47">
        <v>0</v>
      </c>
      <c r="O47">
        <v>1</v>
      </c>
      <c r="P47">
        <v>0</v>
      </c>
      <c r="Q47">
        <f t="shared" si="33"/>
        <v>0</v>
      </c>
      <c r="R47" t="s">
        <v>52</v>
      </c>
      <c r="S47">
        <f t="shared" si="34"/>
        <v>1</v>
      </c>
      <c r="T47" t="s">
        <v>52</v>
      </c>
      <c r="U47">
        <f t="shared" si="35"/>
        <v>2</v>
      </c>
      <c r="V47" t="s">
        <v>52</v>
      </c>
      <c r="W47">
        <f t="shared" si="36"/>
        <v>1</v>
      </c>
      <c r="X47" t="s">
        <v>51</v>
      </c>
      <c r="Y47">
        <f t="shared" si="37"/>
        <v>0</v>
      </c>
      <c r="Z47" t="s">
        <v>52</v>
      </c>
      <c r="AA47">
        <f t="shared" si="38"/>
        <v>2</v>
      </c>
      <c r="AB47" t="s">
        <v>52</v>
      </c>
      <c r="AC47">
        <f t="shared" si="39"/>
        <v>1</v>
      </c>
      <c r="AD47" t="s">
        <v>51</v>
      </c>
      <c r="AE47">
        <f t="shared" si="40"/>
        <v>0</v>
      </c>
      <c r="AF47" t="s">
        <v>51</v>
      </c>
      <c r="AG47">
        <f t="shared" si="41"/>
        <v>2</v>
      </c>
      <c r="AH47" t="s">
        <v>51</v>
      </c>
      <c r="AI47">
        <f t="shared" si="42"/>
        <v>1</v>
      </c>
      <c r="AJ47" t="s">
        <v>52</v>
      </c>
      <c r="AK47">
        <f t="shared" si="43"/>
        <v>10</v>
      </c>
      <c r="AL47">
        <f t="shared" si="44"/>
        <v>0</v>
      </c>
      <c r="AM47" t="s">
        <v>51</v>
      </c>
      <c r="AN47">
        <f t="shared" si="45"/>
        <v>1</v>
      </c>
      <c r="AO47" t="s">
        <v>51</v>
      </c>
      <c r="AP47">
        <f t="shared" si="46"/>
        <v>1</v>
      </c>
      <c r="AQ47" t="s">
        <v>51</v>
      </c>
      <c r="AR47">
        <f t="shared" si="64"/>
        <v>1</v>
      </c>
      <c r="AS47" t="s">
        <v>51</v>
      </c>
      <c r="AT47">
        <f t="shared" si="47"/>
        <v>2</v>
      </c>
      <c r="AU47" t="s">
        <v>52</v>
      </c>
      <c r="AV47">
        <f t="shared" si="48"/>
        <v>0</v>
      </c>
      <c r="AW47" t="s">
        <v>52</v>
      </c>
      <c r="AX47">
        <f t="shared" si="49"/>
        <v>1</v>
      </c>
      <c r="AY47" t="s">
        <v>52</v>
      </c>
      <c r="AZ47">
        <f t="shared" si="50"/>
        <v>0</v>
      </c>
      <c r="BA47" t="s">
        <v>51</v>
      </c>
      <c r="BB47">
        <f t="shared" si="51"/>
        <v>2</v>
      </c>
      <c r="BC47" t="s">
        <v>51</v>
      </c>
      <c r="BD47">
        <f t="shared" si="52"/>
        <v>0</v>
      </c>
      <c r="BE47" t="s">
        <v>51</v>
      </c>
      <c r="BF47">
        <f t="shared" si="53"/>
        <v>8</v>
      </c>
      <c r="BG47">
        <f t="shared" si="54"/>
        <v>0</v>
      </c>
      <c r="BH47" t="s">
        <v>54</v>
      </c>
      <c r="BI47">
        <f t="shared" si="55"/>
        <v>0</v>
      </c>
      <c r="BJ47" t="s">
        <v>53</v>
      </c>
      <c r="BK47">
        <f>IF(BL47="完全终止",2,0)</f>
        <v>2</v>
      </c>
      <c r="BL47" t="s">
        <v>55</v>
      </c>
      <c r="BM47">
        <f t="shared" si="65"/>
        <v>2</v>
      </c>
      <c r="BN47" t="s">
        <v>56</v>
      </c>
      <c r="BO47">
        <f t="shared" si="56"/>
        <v>4</v>
      </c>
      <c r="BP47">
        <f t="shared" si="57"/>
        <v>1</v>
      </c>
      <c r="BQ47" t="s">
        <v>60</v>
      </c>
      <c r="BR47">
        <f t="shared" si="58"/>
        <v>1</v>
      </c>
      <c r="BS47" t="s">
        <v>58</v>
      </c>
      <c r="BT47">
        <f t="shared" si="59"/>
        <v>1</v>
      </c>
      <c r="BU47" t="s">
        <v>59</v>
      </c>
      <c r="BV47">
        <f t="shared" si="60"/>
        <v>0</v>
      </c>
      <c r="BW47" t="s">
        <v>57</v>
      </c>
      <c r="BX47">
        <f t="shared" si="61"/>
        <v>0</v>
      </c>
      <c r="BY47" t="s">
        <v>61</v>
      </c>
      <c r="BZ47">
        <f t="shared" si="62"/>
        <v>3</v>
      </c>
      <c r="CA47">
        <f t="shared" si="63"/>
        <v>25</v>
      </c>
    </row>
    <row r="48" spans="1:79">
      <c r="A48" t="s">
        <v>111</v>
      </c>
      <c r="B48" t="s">
        <v>63</v>
      </c>
      <c r="C48" t="s">
        <v>68</v>
      </c>
      <c r="D48" t="s">
        <v>97</v>
      </c>
      <c r="F48" t="s">
        <v>200</v>
      </c>
      <c r="J48">
        <v>7</v>
      </c>
      <c r="K48">
        <v>3</v>
      </c>
      <c r="L48">
        <v>5</v>
      </c>
      <c r="M48">
        <v>2</v>
      </c>
      <c r="N48">
        <v>0</v>
      </c>
      <c r="O48">
        <v>4</v>
      </c>
      <c r="P48">
        <v>0</v>
      </c>
      <c r="Q48">
        <f t="shared" si="33"/>
        <v>1</v>
      </c>
      <c r="R48" t="s">
        <v>51</v>
      </c>
      <c r="S48">
        <f t="shared" si="34"/>
        <v>1</v>
      </c>
      <c r="T48" t="s">
        <v>52</v>
      </c>
      <c r="U48">
        <f t="shared" si="35"/>
        <v>2</v>
      </c>
      <c r="V48" t="s">
        <v>52</v>
      </c>
      <c r="W48">
        <f t="shared" si="36"/>
        <v>1</v>
      </c>
      <c r="X48" t="s">
        <v>51</v>
      </c>
      <c r="Y48">
        <f t="shared" si="37"/>
        <v>2</v>
      </c>
      <c r="Z48" t="s">
        <v>51</v>
      </c>
      <c r="AA48">
        <f t="shared" si="38"/>
        <v>2</v>
      </c>
      <c r="AB48" t="s">
        <v>52</v>
      </c>
      <c r="AC48">
        <f t="shared" si="39"/>
        <v>1</v>
      </c>
      <c r="AD48" t="s">
        <v>51</v>
      </c>
      <c r="AE48">
        <f t="shared" si="40"/>
        <v>2</v>
      </c>
      <c r="AF48" t="s">
        <v>52</v>
      </c>
      <c r="AG48">
        <f t="shared" si="41"/>
        <v>2</v>
      </c>
      <c r="AH48" t="s">
        <v>51</v>
      </c>
      <c r="AI48">
        <f t="shared" si="42"/>
        <v>1</v>
      </c>
      <c r="AJ48" t="s">
        <v>52</v>
      </c>
      <c r="AK48">
        <f t="shared" si="43"/>
        <v>15</v>
      </c>
      <c r="AL48">
        <f t="shared" si="44"/>
        <v>0</v>
      </c>
      <c r="AM48" t="s">
        <v>51</v>
      </c>
      <c r="AN48">
        <f t="shared" si="45"/>
        <v>1</v>
      </c>
      <c r="AO48" t="s">
        <v>51</v>
      </c>
      <c r="AP48">
        <f t="shared" si="46"/>
        <v>1</v>
      </c>
      <c r="AQ48" t="s">
        <v>51</v>
      </c>
      <c r="AR48">
        <f t="shared" si="64"/>
        <v>1</v>
      </c>
      <c r="AS48" t="s">
        <v>51</v>
      </c>
      <c r="AT48">
        <f t="shared" si="47"/>
        <v>0</v>
      </c>
      <c r="AU48" t="s">
        <v>51</v>
      </c>
      <c r="AV48">
        <f t="shared" si="48"/>
        <v>1</v>
      </c>
      <c r="AW48" t="s">
        <v>51</v>
      </c>
      <c r="AX48">
        <f t="shared" si="49"/>
        <v>1</v>
      </c>
      <c r="AY48" t="s">
        <v>52</v>
      </c>
      <c r="AZ48">
        <f t="shared" si="50"/>
        <v>0</v>
      </c>
      <c r="BA48" t="s">
        <v>51</v>
      </c>
      <c r="BB48">
        <f t="shared" si="51"/>
        <v>0</v>
      </c>
      <c r="BC48" t="s">
        <v>52</v>
      </c>
      <c r="BD48">
        <f t="shared" si="52"/>
        <v>2</v>
      </c>
      <c r="BE48" t="s">
        <v>52</v>
      </c>
      <c r="BF48">
        <f t="shared" si="53"/>
        <v>7</v>
      </c>
      <c r="BG48">
        <f t="shared" si="54"/>
        <v>0</v>
      </c>
      <c r="BH48" t="s">
        <v>55</v>
      </c>
      <c r="BI48">
        <f t="shared" si="55"/>
        <v>2</v>
      </c>
      <c r="BJ48" t="s">
        <v>54</v>
      </c>
      <c r="BK48">
        <v>1</v>
      </c>
      <c r="BL48" t="s">
        <v>56</v>
      </c>
      <c r="BM48">
        <f t="shared" si="65"/>
        <v>0</v>
      </c>
      <c r="BN48" t="s">
        <v>53</v>
      </c>
      <c r="BO48">
        <f t="shared" si="56"/>
        <v>3</v>
      </c>
      <c r="BP48">
        <f t="shared" si="57"/>
        <v>0</v>
      </c>
      <c r="BQ48" t="s">
        <v>61</v>
      </c>
      <c r="BR48">
        <f t="shared" si="58"/>
        <v>1</v>
      </c>
      <c r="BS48" t="s">
        <v>58</v>
      </c>
      <c r="BT48">
        <f t="shared" si="59"/>
        <v>1</v>
      </c>
      <c r="BU48" t="s">
        <v>59</v>
      </c>
      <c r="BV48">
        <f t="shared" si="60"/>
        <v>0</v>
      </c>
      <c r="BW48" t="s">
        <v>57</v>
      </c>
      <c r="BX48">
        <f t="shared" si="61"/>
        <v>0</v>
      </c>
      <c r="BY48" t="s">
        <v>60</v>
      </c>
      <c r="BZ48">
        <f t="shared" si="62"/>
        <v>2</v>
      </c>
      <c r="CA48">
        <f t="shared" si="63"/>
        <v>27</v>
      </c>
    </row>
    <row r="49" spans="1:79">
      <c r="A49" t="s">
        <v>122</v>
      </c>
      <c r="B49" t="s">
        <v>63</v>
      </c>
      <c r="C49" t="s">
        <v>48</v>
      </c>
      <c r="D49" t="s">
        <v>97</v>
      </c>
      <c r="F49" t="s">
        <v>200</v>
      </c>
      <c r="J49">
        <v>7</v>
      </c>
      <c r="K49">
        <v>3</v>
      </c>
      <c r="L49">
        <v>3</v>
      </c>
      <c r="M49">
        <v>4</v>
      </c>
      <c r="N49">
        <v>5</v>
      </c>
      <c r="O49">
        <v>5</v>
      </c>
      <c r="P49">
        <v>0</v>
      </c>
      <c r="Q49">
        <f t="shared" si="33"/>
        <v>1</v>
      </c>
      <c r="R49" t="s">
        <v>51</v>
      </c>
      <c r="S49">
        <f t="shared" si="34"/>
        <v>1</v>
      </c>
      <c r="T49" t="s">
        <v>52</v>
      </c>
      <c r="U49">
        <f t="shared" si="35"/>
        <v>2</v>
      </c>
      <c r="V49" t="s">
        <v>52</v>
      </c>
      <c r="W49">
        <f t="shared" si="36"/>
        <v>1</v>
      </c>
      <c r="X49" t="s">
        <v>51</v>
      </c>
      <c r="Y49">
        <f t="shared" si="37"/>
        <v>2</v>
      </c>
      <c r="Z49" t="s">
        <v>51</v>
      </c>
      <c r="AA49">
        <f t="shared" si="38"/>
        <v>2</v>
      </c>
      <c r="AB49" t="s">
        <v>52</v>
      </c>
      <c r="AC49">
        <f t="shared" si="39"/>
        <v>1</v>
      </c>
      <c r="AD49" t="s">
        <v>51</v>
      </c>
      <c r="AE49">
        <f t="shared" si="40"/>
        <v>2</v>
      </c>
      <c r="AF49" t="s">
        <v>52</v>
      </c>
      <c r="AG49">
        <f t="shared" si="41"/>
        <v>2</v>
      </c>
      <c r="AH49" t="s">
        <v>51</v>
      </c>
      <c r="AI49">
        <f t="shared" si="42"/>
        <v>1</v>
      </c>
      <c r="AJ49" t="s">
        <v>52</v>
      </c>
      <c r="AK49">
        <f t="shared" si="43"/>
        <v>15</v>
      </c>
      <c r="AL49">
        <f t="shared" si="44"/>
        <v>2</v>
      </c>
      <c r="AM49" t="s">
        <v>52</v>
      </c>
      <c r="AN49">
        <f t="shared" si="45"/>
        <v>1</v>
      </c>
      <c r="AO49" t="s">
        <v>51</v>
      </c>
      <c r="AP49">
        <f t="shared" si="46"/>
        <v>1</v>
      </c>
      <c r="AQ49" t="s">
        <v>51</v>
      </c>
      <c r="AR49">
        <f t="shared" si="64"/>
        <v>1</v>
      </c>
      <c r="AS49" t="s">
        <v>51</v>
      </c>
      <c r="AT49">
        <f t="shared" si="47"/>
        <v>2</v>
      </c>
      <c r="AU49" t="s">
        <v>52</v>
      </c>
      <c r="AV49">
        <f t="shared" si="48"/>
        <v>1</v>
      </c>
      <c r="AW49" t="s">
        <v>51</v>
      </c>
      <c r="AX49">
        <f t="shared" si="49"/>
        <v>1</v>
      </c>
      <c r="AY49" t="s">
        <v>52</v>
      </c>
      <c r="AZ49">
        <f t="shared" si="50"/>
        <v>1</v>
      </c>
      <c r="BA49" t="s">
        <v>52</v>
      </c>
      <c r="BB49">
        <f t="shared" si="51"/>
        <v>2</v>
      </c>
      <c r="BC49" t="s">
        <v>51</v>
      </c>
      <c r="BD49">
        <f t="shared" si="52"/>
        <v>2</v>
      </c>
      <c r="BE49" t="s">
        <v>52</v>
      </c>
      <c r="BF49">
        <f t="shared" si="53"/>
        <v>14</v>
      </c>
      <c r="BG49">
        <f t="shared" si="54"/>
        <v>0</v>
      </c>
      <c r="BH49" t="s">
        <v>55</v>
      </c>
      <c r="BI49">
        <f t="shared" si="55"/>
        <v>2</v>
      </c>
      <c r="BJ49" t="s">
        <v>54</v>
      </c>
      <c r="BK49">
        <f>IF(BL49="完全终止",2,0)</f>
        <v>0</v>
      </c>
      <c r="BL49" t="s">
        <v>53</v>
      </c>
      <c r="BM49">
        <f t="shared" si="65"/>
        <v>2</v>
      </c>
      <c r="BN49" t="s">
        <v>56</v>
      </c>
      <c r="BO49">
        <f t="shared" si="56"/>
        <v>4</v>
      </c>
      <c r="BP49">
        <f t="shared" si="57"/>
        <v>0</v>
      </c>
      <c r="BQ49" t="s">
        <v>57</v>
      </c>
      <c r="BR49">
        <f t="shared" si="58"/>
        <v>0</v>
      </c>
      <c r="BS49" t="s">
        <v>61</v>
      </c>
      <c r="BT49">
        <f t="shared" si="59"/>
        <v>1</v>
      </c>
      <c r="BU49" t="s">
        <v>59</v>
      </c>
      <c r="BV49">
        <f t="shared" si="60"/>
        <v>0</v>
      </c>
      <c r="BW49" t="s">
        <v>60</v>
      </c>
      <c r="BX49">
        <f t="shared" si="61"/>
        <v>0</v>
      </c>
      <c r="BY49" t="s">
        <v>58</v>
      </c>
      <c r="BZ49">
        <f t="shared" si="62"/>
        <v>1</v>
      </c>
      <c r="CA49">
        <f t="shared" si="63"/>
        <v>34</v>
      </c>
    </row>
    <row r="50" spans="1:79">
      <c r="A50" t="s">
        <v>148</v>
      </c>
      <c r="B50" t="s">
        <v>63</v>
      </c>
      <c r="C50" t="s">
        <v>76</v>
      </c>
      <c r="D50" t="s">
        <v>97</v>
      </c>
      <c r="F50" t="s">
        <v>201</v>
      </c>
      <c r="J50">
        <v>7</v>
      </c>
      <c r="K50">
        <v>4</v>
      </c>
      <c r="L50">
        <v>5</v>
      </c>
      <c r="M50">
        <v>3</v>
      </c>
      <c r="N50">
        <v>0</v>
      </c>
      <c r="O50">
        <v>5</v>
      </c>
      <c r="P50">
        <v>0</v>
      </c>
      <c r="Q50">
        <f t="shared" si="33"/>
        <v>1</v>
      </c>
      <c r="R50" t="s">
        <v>51</v>
      </c>
      <c r="S50">
        <f t="shared" si="34"/>
        <v>1</v>
      </c>
      <c r="T50" t="s">
        <v>52</v>
      </c>
      <c r="U50">
        <f t="shared" si="35"/>
        <v>2</v>
      </c>
      <c r="V50" t="s">
        <v>52</v>
      </c>
      <c r="W50">
        <f t="shared" si="36"/>
        <v>1</v>
      </c>
      <c r="X50" t="s">
        <v>51</v>
      </c>
      <c r="Y50">
        <f t="shared" si="37"/>
        <v>2</v>
      </c>
      <c r="Z50" t="s">
        <v>51</v>
      </c>
      <c r="AA50">
        <f t="shared" si="38"/>
        <v>2</v>
      </c>
      <c r="AB50" t="s">
        <v>52</v>
      </c>
      <c r="AC50">
        <f t="shared" si="39"/>
        <v>1</v>
      </c>
      <c r="AD50" t="s">
        <v>51</v>
      </c>
      <c r="AE50">
        <f t="shared" si="40"/>
        <v>0</v>
      </c>
      <c r="AF50" t="s">
        <v>51</v>
      </c>
      <c r="AG50">
        <f t="shared" si="41"/>
        <v>2</v>
      </c>
      <c r="AH50" t="s">
        <v>51</v>
      </c>
      <c r="AI50">
        <f t="shared" si="42"/>
        <v>1</v>
      </c>
      <c r="AJ50" t="s">
        <v>52</v>
      </c>
      <c r="AK50">
        <f t="shared" si="43"/>
        <v>13</v>
      </c>
      <c r="AL50">
        <f t="shared" si="44"/>
        <v>0</v>
      </c>
      <c r="AM50" t="s">
        <v>51</v>
      </c>
      <c r="AN50">
        <f t="shared" si="45"/>
        <v>1</v>
      </c>
      <c r="AO50" t="s">
        <v>51</v>
      </c>
      <c r="AP50">
        <f t="shared" si="46"/>
        <v>1</v>
      </c>
      <c r="AQ50" t="s">
        <v>51</v>
      </c>
      <c r="AR50">
        <f t="shared" si="64"/>
        <v>1</v>
      </c>
      <c r="AS50" t="s">
        <v>51</v>
      </c>
      <c r="AT50">
        <f t="shared" si="47"/>
        <v>2</v>
      </c>
      <c r="AU50" t="s">
        <v>52</v>
      </c>
      <c r="AV50">
        <f t="shared" si="48"/>
        <v>1</v>
      </c>
      <c r="AW50" t="s">
        <v>51</v>
      </c>
      <c r="AX50">
        <f t="shared" si="49"/>
        <v>1</v>
      </c>
      <c r="AY50" t="s">
        <v>52</v>
      </c>
      <c r="AZ50">
        <f t="shared" si="50"/>
        <v>1</v>
      </c>
      <c r="BA50" t="s">
        <v>52</v>
      </c>
      <c r="BB50">
        <f t="shared" si="51"/>
        <v>2</v>
      </c>
      <c r="BC50" t="s">
        <v>51</v>
      </c>
      <c r="BD50">
        <f t="shared" si="52"/>
        <v>2</v>
      </c>
      <c r="BE50" t="s">
        <v>52</v>
      </c>
      <c r="BF50">
        <f t="shared" si="53"/>
        <v>12</v>
      </c>
      <c r="BG50">
        <f t="shared" si="54"/>
        <v>2</v>
      </c>
      <c r="BH50" t="s">
        <v>53</v>
      </c>
      <c r="BI50">
        <f t="shared" si="55"/>
        <v>2</v>
      </c>
      <c r="BJ50" t="s">
        <v>54</v>
      </c>
      <c r="BK50">
        <v>1</v>
      </c>
      <c r="BL50" t="s">
        <v>56</v>
      </c>
      <c r="BM50">
        <v>1</v>
      </c>
      <c r="BN50" t="s">
        <v>55</v>
      </c>
      <c r="BO50">
        <f t="shared" si="56"/>
        <v>6</v>
      </c>
      <c r="BP50">
        <f t="shared" si="57"/>
        <v>1</v>
      </c>
      <c r="BQ50" t="s">
        <v>60</v>
      </c>
      <c r="BR50">
        <f t="shared" si="58"/>
        <v>1</v>
      </c>
      <c r="BS50" t="s">
        <v>58</v>
      </c>
      <c r="BT50">
        <f t="shared" si="59"/>
        <v>1</v>
      </c>
      <c r="BU50" t="s">
        <v>59</v>
      </c>
      <c r="BV50">
        <f t="shared" si="60"/>
        <v>1</v>
      </c>
      <c r="BW50" t="s">
        <v>61</v>
      </c>
      <c r="BX50">
        <f t="shared" si="61"/>
        <v>1</v>
      </c>
      <c r="BY50" t="s">
        <v>57</v>
      </c>
      <c r="BZ50">
        <f t="shared" si="62"/>
        <v>5</v>
      </c>
      <c r="CA50">
        <f t="shared" si="63"/>
        <v>36</v>
      </c>
    </row>
    <row r="51" spans="1:79">
      <c r="A51" t="s">
        <v>239</v>
      </c>
      <c r="B51" t="s">
        <v>67</v>
      </c>
      <c r="C51" t="s">
        <v>79</v>
      </c>
      <c r="D51" t="s">
        <v>97</v>
      </c>
      <c r="E51" t="s">
        <v>64</v>
      </c>
      <c r="G51" t="s">
        <v>250</v>
      </c>
      <c r="J51">
        <v>7</v>
      </c>
      <c r="K51">
        <v>4</v>
      </c>
      <c r="L51">
        <v>2</v>
      </c>
      <c r="M51">
        <v>1</v>
      </c>
      <c r="N51">
        <v>0</v>
      </c>
      <c r="O51">
        <v>3</v>
      </c>
      <c r="P51">
        <v>0</v>
      </c>
      <c r="Q51">
        <f t="shared" si="33"/>
        <v>0</v>
      </c>
      <c r="R51" t="s">
        <v>52</v>
      </c>
      <c r="S51">
        <f t="shared" si="34"/>
        <v>1</v>
      </c>
      <c r="T51" t="s">
        <v>52</v>
      </c>
      <c r="U51">
        <f t="shared" si="35"/>
        <v>0</v>
      </c>
      <c r="V51" t="s">
        <v>51</v>
      </c>
      <c r="W51">
        <f t="shared" si="36"/>
        <v>0</v>
      </c>
      <c r="X51" t="s">
        <v>52</v>
      </c>
      <c r="Y51">
        <f t="shared" si="37"/>
        <v>0</v>
      </c>
      <c r="Z51" t="s">
        <v>52</v>
      </c>
      <c r="AA51">
        <f t="shared" si="38"/>
        <v>2</v>
      </c>
      <c r="AB51" t="s">
        <v>52</v>
      </c>
      <c r="AC51">
        <f t="shared" si="39"/>
        <v>0</v>
      </c>
      <c r="AD51" t="s">
        <v>52</v>
      </c>
      <c r="AE51">
        <f t="shared" si="40"/>
        <v>2</v>
      </c>
      <c r="AF51" t="s">
        <v>52</v>
      </c>
      <c r="AG51">
        <f t="shared" si="41"/>
        <v>0</v>
      </c>
      <c r="AH51" t="s">
        <v>52</v>
      </c>
      <c r="AI51">
        <f t="shared" si="42"/>
        <v>1</v>
      </c>
      <c r="AJ51" t="s">
        <v>52</v>
      </c>
      <c r="AK51">
        <f t="shared" si="43"/>
        <v>6</v>
      </c>
      <c r="AL51">
        <f t="shared" si="44"/>
        <v>0</v>
      </c>
      <c r="AM51" t="s">
        <v>51</v>
      </c>
      <c r="AN51">
        <f t="shared" si="45"/>
        <v>1</v>
      </c>
      <c r="AO51" t="s">
        <v>51</v>
      </c>
      <c r="AP51">
        <f t="shared" si="46"/>
        <v>1</v>
      </c>
      <c r="AQ51" t="s">
        <v>51</v>
      </c>
      <c r="AR51">
        <f t="shared" si="64"/>
        <v>1</v>
      </c>
      <c r="AS51" t="s">
        <v>51</v>
      </c>
      <c r="AT51">
        <f t="shared" si="47"/>
        <v>0</v>
      </c>
      <c r="AU51" t="s">
        <v>51</v>
      </c>
      <c r="AV51">
        <f t="shared" si="48"/>
        <v>1</v>
      </c>
      <c r="AW51" t="s">
        <v>51</v>
      </c>
      <c r="AX51">
        <f t="shared" si="49"/>
        <v>1</v>
      </c>
      <c r="AY51" t="s">
        <v>52</v>
      </c>
      <c r="AZ51">
        <f t="shared" si="50"/>
        <v>0</v>
      </c>
      <c r="BA51" t="s">
        <v>51</v>
      </c>
      <c r="BB51">
        <f t="shared" si="51"/>
        <v>0</v>
      </c>
      <c r="BC51" t="s">
        <v>52</v>
      </c>
      <c r="BD51">
        <f t="shared" si="52"/>
        <v>0</v>
      </c>
      <c r="BE51" t="s">
        <v>51</v>
      </c>
      <c r="BF51">
        <f t="shared" si="53"/>
        <v>5</v>
      </c>
      <c r="BG51">
        <f t="shared" si="54"/>
        <v>0</v>
      </c>
      <c r="BH51" t="s">
        <v>54</v>
      </c>
      <c r="BI51">
        <f t="shared" si="55"/>
        <v>0</v>
      </c>
      <c r="BJ51" t="s">
        <v>53</v>
      </c>
      <c r="BK51">
        <v>0</v>
      </c>
      <c r="BL51" t="s">
        <v>53</v>
      </c>
      <c r="BM51">
        <v>0</v>
      </c>
      <c r="BN51" t="s">
        <v>54</v>
      </c>
      <c r="BO51">
        <f t="shared" si="56"/>
        <v>0</v>
      </c>
      <c r="BP51">
        <f t="shared" si="57"/>
        <v>0</v>
      </c>
      <c r="BQ51" t="s">
        <v>58</v>
      </c>
      <c r="BR51">
        <f t="shared" si="58"/>
        <v>0</v>
      </c>
      <c r="BS51" t="s">
        <v>61</v>
      </c>
      <c r="BT51">
        <f t="shared" si="59"/>
        <v>1</v>
      </c>
      <c r="BU51" t="s">
        <v>59</v>
      </c>
      <c r="BV51">
        <f t="shared" si="60"/>
        <v>0</v>
      </c>
      <c r="BW51" t="s">
        <v>57</v>
      </c>
      <c r="BX51">
        <f t="shared" si="61"/>
        <v>0</v>
      </c>
      <c r="BY51" t="s">
        <v>60</v>
      </c>
      <c r="BZ51">
        <f t="shared" si="62"/>
        <v>1</v>
      </c>
      <c r="CA51">
        <f t="shared" si="63"/>
        <v>12</v>
      </c>
    </row>
    <row r="52" spans="1:79">
      <c r="A52" t="s">
        <v>247</v>
      </c>
      <c r="B52" t="s">
        <v>63</v>
      </c>
      <c r="C52" t="s">
        <v>76</v>
      </c>
      <c r="D52" t="s">
        <v>97</v>
      </c>
      <c r="J52">
        <v>7</v>
      </c>
      <c r="K52">
        <v>4</v>
      </c>
      <c r="L52">
        <v>5</v>
      </c>
      <c r="M52">
        <v>4</v>
      </c>
      <c r="N52">
        <v>4</v>
      </c>
      <c r="O52">
        <v>5</v>
      </c>
      <c r="P52">
        <v>1</v>
      </c>
      <c r="Q52">
        <f t="shared" si="33"/>
        <v>1</v>
      </c>
      <c r="R52" t="s">
        <v>51</v>
      </c>
      <c r="S52">
        <f t="shared" si="34"/>
        <v>1</v>
      </c>
      <c r="T52" t="s">
        <v>52</v>
      </c>
      <c r="U52">
        <f t="shared" si="35"/>
        <v>0</v>
      </c>
      <c r="V52" t="s">
        <v>51</v>
      </c>
      <c r="W52">
        <f t="shared" si="36"/>
        <v>1</v>
      </c>
      <c r="X52" t="s">
        <v>51</v>
      </c>
      <c r="Y52">
        <f t="shared" si="37"/>
        <v>2</v>
      </c>
      <c r="Z52" t="s">
        <v>51</v>
      </c>
      <c r="AA52">
        <f t="shared" si="38"/>
        <v>0</v>
      </c>
      <c r="AB52" t="s">
        <v>51</v>
      </c>
      <c r="AC52">
        <f t="shared" si="39"/>
        <v>1</v>
      </c>
      <c r="AD52" t="s">
        <v>51</v>
      </c>
      <c r="AE52">
        <f t="shared" si="40"/>
        <v>2</v>
      </c>
      <c r="AF52" t="s">
        <v>52</v>
      </c>
      <c r="AG52">
        <f t="shared" si="41"/>
        <v>2</v>
      </c>
      <c r="AH52" t="s">
        <v>51</v>
      </c>
      <c r="AI52">
        <f t="shared" si="42"/>
        <v>1</v>
      </c>
      <c r="AJ52" t="s">
        <v>52</v>
      </c>
      <c r="AK52">
        <f t="shared" si="43"/>
        <v>11</v>
      </c>
      <c r="AL52">
        <f t="shared" si="44"/>
        <v>0</v>
      </c>
      <c r="AM52" t="s">
        <v>51</v>
      </c>
      <c r="AN52">
        <f t="shared" si="45"/>
        <v>1</v>
      </c>
      <c r="AO52" t="s">
        <v>51</v>
      </c>
      <c r="AP52">
        <f t="shared" si="46"/>
        <v>1</v>
      </c>
      <c r="AQ52" t="s">
        <v>51</v>
      </c>
      <c r="AR52">
        <f t="shared" si="64"/>
        <v>1</v>
      </c>
      <c r="AS52" t="s">
        <v>51</v>
      </c>
      <c r="AT52">
        <f t="shared" si="47"/>
        <v>2</v>
      </c>
      <c r="AU52" t="s">
        <v>52</v>
      </c>
      <c r="AV52">
        <f t="shared" si="48"/>
        <v>1</v>
      </c>
      <c r="AW52" t="s">
        <v>51</v>
      </c>
      <c r="AX52">
        <f t="shared" si="49"/>
        <v>1</v>
      </c>
      <c r="AY52" t="s">
        <v>52</v>
      </c>
      <c r="AZ52">
        <f t="shared" si="50"/>
        <v>0</v>
      </c>
      <c r="BA52" t="s">
        <v>51</v>
      </c>
      <c r="BB52">
        <f t="shared" si="51"/>
        <v>2</v>
      </c>
      <c r="BC52" t="s">
        <v>51</v>
      </c>
      <c r="BD52">
        <f t="shared" si="52"/>
        <v>0</v>
      </c>
      <c r="BE52" t="s">
        <v>51</v>
      </c>
      <c r="BF52">
        <f t="shared" si="53"/>
        <v>9</v>
      </c>
      <c r="BG52">
        <f t="shared" si="54"/>
        <v>2</v>
      </c>
      <c r="BH52" t="s">
        <v>53</v>
      </c>
      <c r="BI52">
        <f t="shared" si="55"/>
        <v>2</v>
      </c>
      <c r="BJ52" t="s">
        <v>54</v>
      </c>
      <c r="BK52">
        <v>2</v>
      </c>
      <c r="BL52" t="s">
        <v>55</v>
      </c>
      <c r="BM52">
        <v>2</v>
      </c>
      <c r="BN52" t="s">
        <v>56</v>
      </c>
      <c r="BO52">
        <f t="shared" si="56"/>
        <v>8</v>
      </c>
      <c r="BP52">
        <f t="shared" si="57"/>
        <v>0</v>
      </c>
      <c r="BQ52" t="s">
        <v>57</v>
      </c>
      <c r="BR52">
        <f t="shared" si="58"/>
        <v>1</v>
      </c>
      <c r="BS52" t="s">
        <v>58</v>
      </c>
      <c r="BT52">
        <f t="shared" si="59"/>
        <v>1</v>
      </c>
      <c r="BU52" t="s">
        <v>59</v>
      </c>
      <c r="BV52">
        <f t="shared" si="60"/>
        <v>1</v>
      </c>
      <c r="BW52" t="s">
        <v>61</v>
      </c>
      <c r="BX52">
        <f t="shared" si="61"/>
        <v>0</v>
      </c>
      <c r="BY52" t="s">
        <v>60</v>
      </c>
      <c r="BZ52">
        <f t="shared" si="62"/>
        <v>3</v>
      </c>
      <c r="CA52">
        <f t="shared" si="63"/>
        <v>31</v>
      </c>
    </row>
    <row r="53" spans="1:79">
      <c r="A53" t="s">
        <v>118</v>
      </c>
      <c r="B53" t="s">
        <v>67</v>
      </c>
      <c r="C53" t="s">
        <v>68</v>
      </c>
      <c r="D53" t="s">
        <v>97</v>
      </c>
      <c r="F53" t="s">
        <v>235</v>
      </c>
      <c r="G53" t="s">
        <v>97</v>
      </c>
      <c r="I53" t="s">
        <v>236</v>
      </c>
      <c r="J53">
        <v>8</v>
      </c>
      <c r="K53">
        <v>3</v>
      </c>
      <c r="L53">
        <v>5</v>
      </c>
      <c r="M53">
        <v>2</v>
      </c>
      <c r="N53">
        <v>0</v>
      </c>
      <c r="O53">
        <v>2</v>
      </c>
      <c r="P53">
        <v>0</v>
      </c>
      <c r="Q53">
        <f t="shared" si="33"/>
        <v>1</v>
      </c>
      <c r="R53" t="s">
        <v>51</v>
      </c>
      <c r="S53">
        <f t="shared" si="34"/>
        <v>1</v>
      </c>
      <c r="T53" t="s">
        <v>52</v>
      </c>
      <c r="U53">
        <f t="shared" si="35"/>
        <v>2</v>
      </c>
      <c r="V53" t="s">
        <v>52</v>
      </c>
      <c r="W53">
        <f t="shared" si="36"/>
        <v>1</v>
      </c>
      <c r="X53" t="s">
        <v>51</v>
      </c>
      <c r="Y53">
        <f t="shared" si="37"/>
        <v>0</v>
      </c>
      <c r="Z53" t="s">
        <v>52</v>
      </c>
      <c r="AA53">
        <f t="shared" si="38"/>
        <v>2</v>
      </c>
      <c r="AB53" t="s">
        <v>52</v>
      </c>
      <c r="AC53">
        <f t="shared" si="39"/>
        <v>0</v>
      </c>
      <c r="AD53" t="s">
        <v>52</v>
      </c>
      <c r="AE53">
        <f t="shared" si="40"/>
        <v>2</v>
      </c>
      <c r="AF53" t="s">
        <v>52</v>
      </c>
      <c r="AG53">
        <f t="shared" si="41"/>
        <v>0</v>
      </c>
      <c r="AH53" t="s">
        <v>52</v>
      </c>
      <c r="AI53">
        <f t="shared" si="42"/>
        <v>1</v>
      </c>
      <c r="AJ53" t="s">
        <v>52</v>
      </c>
      <c r="AK53">
        <f t="shared" si="43"/>
        <v>10</v>
      </c>
      <c r="AL53">
        <f t="shared" si="44"/>
        <v>2</v>
      </c>
      <c r="AM53" t="s">
        <v>52</v>
      </c>
      <c r="AN53">
        <f t="shared" si="45"/>
        <v>0</v>
      </c>
      <c r="AO53" t="s">
        <v>52</v>
      </c>
      <c r="AP53">
        <f t="shared" si="46"/>
        <v>1</v>
      </c>
      <c r="AQ53" t="s">
        <v>51</v>
      </c>
      <c r="AR53">
        <f t="shared" si="64"/>
        <v>1</v>
      </c>
      <c r="AS53" t="s">
        <v>51</v>
      </c>
      <c r="AT53">
        <f t="shared" si="47"/>
        <v>2</v>
      </c>
      <c r="AU53" t="s">
        <v>52</v>
      </c>
      <c r="AV53">
        <f t="shared" si="48"/>
        <v>1</v>
      </c>
      <c r="AW53" t="s">
        <v>51</v>
      </c>
      <c r="AX53">
        <f t="shared" si="49"/>
        <v>1</v>
      </c>
      <c r="AY53" t="s">
        <v>52</v>
      </c>
      <c r="AZ53">
        <f t="shared" si="50"/>
        <v>1</v>
      </c>
      <c r="BA53" t="s">
        <v>52</v>
      </c>
      <c r="BB53">
        <f t="shared" si="51"/>
        <v>0</v>
      </c>
      <c r="BC53" t="s">
        <v>52</v>
      </c>
      <c r="BD53">
        <f t="shared" si="52"/>
        <v>2</v>
      </c>
      <c r="BE53" t="s">
        <v>52</v>
      </c>
      <c r="BF53">
        <f t="shared" si="53"/>
        <v>11</v>
      </c>
      <c r="BG53">
        <f t="shared" si="54"/>
        <v>0</v>
      </c>
      <c r="BH53" t="s">
        <v>54</v>
      </c>
      <c r="BI53">
        <f t="shared" si="55"/>
        <v>0</v>
      </c>
      <c r="BJ53" t="s">
        <v>56</v>
      </c>
      <c r="BK53">
        <f>IF(BL53="完全终止",2,0)</f>
        <v>2</v>
      </c>
      <c r="BL53" t="s">
        <v>55</v>
      </c>
      <c r="BM53">
        <f>IF(BN53="变格终止",2,0)</f>
        <v>0</v>
      </c>
      <c r="BN53" t="s">
        <v>53</v>
      </c>
      <c r="BO53">
        <f t="shared" si="56"/>
        <v>2</v>
      </c>
      <c r="BP53">
        <f t="shared" si="57"/>
        <v>0</v>
      </c>
      <c r="BQ53" t="s">
        <v>57</v>
      </c>
      <c r="BR53">
        <f t="shared" si="58"/>
        <v>0</v>
      </c>
      <c r="BS53" t="s">
        <v>61</v>
      </c>
      <c r="BT53">
        <f t="shared" si="59"/>
        <v>1</v>
      </c>
      <c r="BU53" t="s">
        <v>59</v>
      </c>
      <c r="BV53">
        <f t="shared" si="60"/>
        <v>1</v>
      </c>
      <c r="BW53" t="s">
        <v>61</v>
      </c>
      <c r="BX53">
        <f t="shared" si="61"/>
        <v>1</v>
      </c>
      <c r="BY53" t="s">
        <v>57</v>
      </c>
      <c r="BZ53">
        <f t="shared" si="62"/>
        <v>3</v>
      </c>
      <c r="CA53">
        <f t="shared" si="63"/>
        <v>26</v>
      </c>
    </row>
    <row r="54" spans="1:79">
      <c r="A54" t="s">
        <v>145</v>
      </c>
      <c r="B54" t="s">
        <v>63</v>
      </c>
      <c r="C54" t="s">
        <v>76</v>
      </c>
      <c r="D54" t="s">
        <v>47</v>
      </c>
      <c r="F54" t="s">
        <v>201</v>
      </c>
      <c r="H54" t="s">
        <v>152</v>
      </c>
      <c r="J54">
        <v>8</v>
      </c>
      <c r="K54">
        <v>4</v>
      </c>
      <c r="L54">
        <v>5</v>
      </c>
      <c r="M54">
        <v>3</v>
      </c>
      <c r="N54">
        <v>1</v>
      </c>
      <c r="O54">
        <v>5</v>
      </c>
      <c r="P54">
        <v>1</v>
      </c>
      <c r="Q54">
        <f t="shared" si="33"/>
        <v>1</v>
      </c>
      <c r="R54" t="s">
        <v>51</v>
      </c>
      <c r="S54">
        <f t="shared" si="34"/>
        <v>1</v>
      </c>
      <c r="T54" t="s">
        <v>52</v>
      </c>
      <c r="U54">
        <f t="shared" si="35"/>
        <v>2</v>
      </c>
      <c r="V54" t="s">
        <v>52</v>
      </c>
      <c r="W54">
        <f t="shared" si="36"/>
        <v>1</v>
      </c>
      <c r="X54" t="s">
        <v>51</v>
      </c>
      <c r="Y54">
        <f t="shared" si="37"/>
        <v>2</v>
      </c>
      <c r="Z54" t="s">
        <v>51</v>
      </c>
      <c r="AA54">
        <f t="shared" si="38"/>
        <v>2</v>
      </c>
      <c r="AB54" t="s">
        <v>52</v>
      </c>
      <c r="AC54">
        <f t="shared" si="39"/>
        <v>1</v>
      </c>
      <c r="AD54" t="s">
        <v>51</v>
      </c>
      <c r="AE54">
        <f t="shared" si="40"/>
        <v>2</v>
      </c>
      <c r="AF54" t="s">
        <v>52</v>
      </c>
      <c r="AG54">
        <f t="shared" si="41"/>
        <v>0</v>
      </c>
      <c r="AH54" t="s">
        <v>52</v>
      </c>
      <c r="AI54">
        <f t="shared" si="42"/>
        <v>1</v>
      </c>
      <c r="AJ54" t="s">
        <v>52</v>
      </c>
      <c r="AK54">
        <f t="shared" si="43"/>
        <v>13</v>
      </c>
      <c r="AL54">
        <f t="shared" si="44"/>
        <v>2</v>
      </c>
      <c r="AM54" t="s">
        <v>52</v>
      </c>
      <c r="AN54">
        <f t="shared" si="45"/>
        <v>1</v>
      </c>
      <c r="AO54" t="s">
        <v>51</v>
      </c>
      <c r="AP54">
        <f t="shared" si="46"/>
        <v>1</v>
      </c>
      <c r="AQ54" t="s">
        <v>51</v>
      </c>
      <c r="AR54">
        <f>IF(AS54="不同",1,0)</f>
        <v>0</v>
      </c>
      <c r="AS54" t="s">
        <v>52</v>
      </c>
      <c r="AT54">
        <f t="shared" si="47"/>
        <v>2</v>
      </c>
      <c r="AU54" t="s">
        <v>52</v>
      </c>
      <c r="AV54">
        <f t="shared" si="48"/>
        <v>1</v>
      </c>
      <c r="AW54" t="s">
        <v>51</v>
      </c>
      <c r="AX54">
        <f t="shared" si="49"/>
        <v>1</v>
      </c>
      <c r="AY54" t="s">
        <v>52</v>
      </c>
      <c r="AZ54">
        <f t="shared" si="50"/>
        <v>1</v>
      </c>
      <c r="BA54" t="s">
        <v>52</v>
      </c>
      <c r="BB54">
        <f t="shared" si="51"/>
        <v>2</v>
      </c>
      <c r="BC54" t="s">
        <v>51</v>
      </c>
      <c r="BD54">
        <f t="shared" si="52"/>
        <v>2</v>
      </c>
      <c r="BE54" t="s">
        <v>52</v>
      </c>
      <c r="BF54">
        <f t="shared" si="53"/>
        <v>13</v>
      </c>
      <c r="BG54">
        <f t="shared" si="54"/>
        <v>2</v>
      </c>
      <c r="BH54" t="s">
        <v>53</v>
      </c>
      <c r="BI54">
        <f t="shared" si="55"/>
        <v>0</v>
      </c>
      <c r="BJ54" t="s">
        <v>56</v>
      </c>
      <c r="BK54">
        <f>IF(BL54="完全终止",2,0)</f>
        <v>0</v>
      </c>
      <c r="BL54" t="s">
        <v>54</v>
      </c>
      <c r="BM54">
        <v>1</v>
      </c>
      <c r="BN54" t="s">
        <v>55</v>
      </c>
      <c r="BO54">
        <f t="shared" si="56"/>
        <v>3</v>
      </c>
      <c r="BP54">
        <f t="shared" si="57"/>
        <v>0</v>
      </c>
      <c r="BQ54" t="s">
        <v>57</v>
      </c>
      <c r="BR54">
        <f t="shared" si="58"/>
        <v>1</v>
      </c>
      <c r="BS54" t="s">
        <v>58</v>
      </c>
      <c r="BT54">
        <f t="shared" si="59"/>
        <v>1</v>
      </c>
      <c r="BU54" t="s">
        <v>59</v>
      </c>
      <c r="BV54">
        <f t="shared" si="60"/>
        <v>1</v>
      </c>
      <c r="BW54" t="s">
        <v>61</v>
      </c>
      <c r="BX54">
        <f t="shared" si="61"/>
        <v>0</v>
      </c>
      <c r="BY54" t="s">
        <v>60</v>
      </c>
      <c r="BZ54">
        <f t="shared" si="62"/>
        <v>3</v>
      </c>
      <c r="CA54">
        <f t="shared" si="63"/>
        <v>32</v>
      </c>
    </row>
    <row r="55" spans="1:79">
      <c r="A55" t="s">
        <v>149</v>
      </c>
      <c r="B55" t="s">
        <v>63</v>
      </c>
      <c r="C55" t="s">
        <v>76</v>
      </c>
      <c r="D55" t="s">
        <v>47</v>
      </c>
      <c r="F55" t="s">
        <v>224</v>
      </c>
      <c r="H55" t="s">
        <v>153</v>
      </c>
      <c r="J55">
        <v>8</v>
      </c>
      <c r="K55">
        <v>4</v>
      </c>
      <c r="L55">
        <v>4</v>
      </c>
      <c r="M55">
        <v>3</v>
      </c>
      <c r="N55">
        <v>5</v>
      </c>
      <c r="O55">
        <v>4</v>
      </c>
      <c r="P55">
        <v>1</v>
      </c>
      <c r="Q55">
        <f t="shared" si="33"/>
        <v>1</v>
      </c>
      <c r="R55" t="s">
        <v>51</v>
      </c>
      <c r="S55">
        <f t="shared" si="34"/>
        <v>1</v>
      </c>
      <c r="T55" t="s">
        <v>52</v>
      </c>
      <c r="U55">
        <f t="shared" si="35"/>
        <v>2</v>
      </c>
      <c r="V55" t="s">
        <v>52</v>
      </c>
      <c r="W55">
        <f t="shared" si="36"/>
        <v>1</v>
      </c>
      <c r="X55" t="s">
        <v>51</v>
      </c>
      <c r="Y55">
        <f t="shared" si="37"/>
        <v>2</v>
      </c>
      <c r="Z55" t="s">
        <v>51</v>
      </c>
      <c r="AA55">
        <f t="shared" si="38"/>
        <v>2</v>
      </c>
      <c r="AB55" t="s">
        <v>52</v>
      </c>
      <c r="AC55">
        <f t="shared" si="39"/>
        <v>1</v>
      </c>
      <c r="AD55" t="s">
        <v>51</v>
      </c>
      <c r="AE55">
        <f t="shared" si="40"/>
        <v>2</v>
      </c>
      <c r="AF55" t="s">
        <v>52</v>
      </c>
      <c r="AG55">
        <f t="shared" si="41"/>
        <v>0</v>
      </c>
      <c r="AH55" t="s">
        <v>52</v>
      </c>
      <c r="AI55">
        <f t="shared" si="42"/>
        <v>1</v>
      </c>
      <c r="AJ55" t="s">
        <v>52</v>
      </c>
      <c r="AK55">
        <f t="shared" si="43"/>
        <v>13</v>
      </c>
      <c r="AL55">
        <f t="shared" si="44"/>
        <v>0</v>
      </c>
      <c r="AM55" t="s">
        <v>51</v>
      </c>
      <c r="AN55">
        <f t="shared" si="45"/>
        <v>1</v>
      </c>
      <c r="AO55" t="s">
        <v>51</v>
      </c>
      <c r="AP55">
        <f t="shared" si="46"/>
        <v>1</v>
      </c>
      <c r="AQ55" t="s">
        <v>51</v>
      </c>
      <c r="AR55">
        <f t="shared" ref="AR55:AR74" si="66">IF(AS54="不同",1,0)</f>
        <v>0</v>
      </c>
      <c r="AS55" t="s">
        <v>51</v>
      </c>
      <c r="AT55">
        <f t="shared" si="47"/>
        <v>2</v>
      </c>
      <c r="AU55" t="s">
        <v>52</v>
      </c>
      <c r="AV55">
        <f t="shared" si="48"/>
        <v>1</v>
      </c>
      <c r="AW55" t="s">
        <v>51</v>
      </c>
      <c r="AX55">
        <f t="shared" si="49"/>
        <v>1</v>
      </c>
      <c r="AY55" t="s">
        <v>52</v>
      </c>
      <c r="AZ55">
        <f t="shared" si="50"/>
        <v>1</v>
      </c>
      <c r="BA55" t="s">
        <v>52</v>
      </c>
      <c r="BB55">
        <f t="shared" si="51"/>
        <v>2</v>
      </c>
      <c r="BC55" t="s">
        <v>51</v>
      </c>
      <c r="BD55">
        <f t="shared" si="52"/>
        <v>2</v>
      </c>
      <c r="BE55" t="s">
        <v>52</v>
      </c>
      <c r="BF55">
        <f t="shared" si="53"/>
        <v>11</v>
      </c>
      <c r="BG55">
        <f t="shared" si="54"/>
        <v>0</v>
      </c>
      <c r="BH55" t="s">
        <v>56</v>
      </c>
      <c r="BI55">
        <f t="shared" si="55"/>
        <v>2</v>
      </c>
      <c r="BJ55" t="s">
        <v>54</v>
      </c>
      <c r="BK55">
        <f>IF(BL55="完全终止",2,0)</f>
        <v>0</v>
      </c>
      <c r="BL55" t="s">
        <v>53</v>
      </c>
      <c r="BM55">
        <v>1</v>
      </c>
      <c r="BN55" t="s">
        <v>55</v>
      </c>
      <c r="BO55">
        <f t="shared" si="56"/>
        <v>3</v>
      </c>
      <c r="BP55">
        <f t="shared" si="57"/>
        <v>1</v>
      </c>
      <c r="BQ55" t="s">
        <v>60</v>
      </c>
      <c r="BR55">
        <f t="shared" si="58"/>
        <v>1</v>
      </c>
      <c r="BS55" t="s">
        <v>58</v>
      </c>
      <c r="BT55">
        <f t="shared" si="59"/>
        <v>1</v>
      </c>
      <c r="BU55" t="s">
        <v>59</v>
      </c>
      <c r="BV55">
        <f t="shared" si="60"/>
        <v>1</v>
      </c>
      <c r="BW55" t="s">
        <v>61</v>
      </c>
      <c r="BX55">
        <f t="shared" si="61"/>
        <v>1</v>
      </c>
      <c r="BY55" t="s">
        <v>57</v>
      </c>
      <c r="BZ55">
        <f t="shared" si="62"/>
        <v>5</v>
      </c>
      <c r="CA55">
        <f t="shared" si="63"/>
        <v>32</v>
      </c>
    </row>
    <row r="56" spans="1:79">
      <c r="A56" t="s">
        <v>238</v>
      </c>
      <c r="B56" t="s">
        <v>63</v>
      </c>
      <c r="C56" t="s">
        <v>76</v>
      </c>
      <c r="D56" t="s">
        <v>47</v>
      </c>
      <c r="F56" t="s">
        <v>201</v>
      </c>
      <c r="H56" t="s">
        <v>154</v>
      </c>
      <c r="J56">
        <v>8</v>
      </c>
      <c r="K56">
        <v>4</v>
      </c>
      <c r="L56">
        <v>5</v>
      </c>
      <c r="M56">
        <v>2</v>
      </c>
      <c r="N56">
        <v>0</v>
      </c>
      <c r="O56">
        <v>5</v>
      </c>
      <c r="P56">
        <v>0</v>
      </c>
      <c r="Q56">
        <f t="shared" si="33"/>
        <v>1</v>
      </c>
      <c r="R56" t="s">
        <v>51</v>
      </c>
      <c r="S56">
        <f t="shared" si="34"/>
        <v>1</v>
      </c>
      <c r="T56" t="s">
        <v>52</v>
      </c>
      <c r="U56">
        <f t="shared" si="35"/>
        <v>2</v>
      </c>
      <c r="V56" t="s">
        <v>52</v>
      </c>
      <c r="W56">
        <f t="shared" si="36"/>
        <v>1</v>
      </c>
      <c r="X56" t="s">
        <v>51</v>
      </c>
      <c r="Y56">
        <f t="shared" si="37"/>
        <v>2</v>
      </c>
      <c r="Z56" t="s">
        <v>51</v>
      </c>
      <c r="AA56">
        <f t="shared" si="38"/>
        <v>2</v>
      </c>
      <c r="AB56" t="s">
        <v>52</v>
      </c>
      <c r="AC56">
        <f t="shared" si="39"/>
        <v>1</v>
      </c>
      <c r="AD56" t="s">
        <v>51</v>
      </c>
      <c r="AE56">
        <f t="shared" si="40"/>
        <v>2</v>
      </c>
      <c r="AF56" t="s">
        <v>52</v>
      </c>
      <c r="AG56">
        <f t="shared" si="41"/>
        <v>2</v>
      </c>
      <c r="AH56" t="s">
        <v>51</v>
      </c>
      <c r="AI56">
        <f t="shared" si="42"/>
        <v>1</v>
      </c>
      <c r="AJ56" t="s">
        <v>52</v>
      </c>
      <c r="AK56">
        <f t="shared" si="43"/>
        <v>15</v>
      </c>
      <c r="AL56">
        <f t="shared" si="44"/>
        <v>0</v>
      </c>
      <c r="AM56" t="s">
        <v>51</v>
      </c>
      <c r="AN56">
        <f t="shared" si="45"/>
        <v>1</v>
      </c>
      <c r="AO56" t="s">
        <v>51</v>
      </c>
      <c r="AP56">
        <f t="shared" si="46"/>
        <v>1</v>
      </c>
      <c r="AQ56" t="s">
        <v>51</v>
      </c>
      <c r="AR56">
        <f t="shared" si="66"/>
        <v>1</v>
      </c>
      <c r="AS56" t="s">
        <v>52</v>
      </c>
      <c r="AT56">
        <f t="shared" si="47"/>
        <v>2</v>
      </c>
      <c r="AU56" t="s">
        <v>52</v>
      </c>
      <c r="AV56">
        <f t="shared" si="48"/>
        <v>1</v>
      </c>
      <c r="AW56" t="s">
        <v>51</v>
      </c>
      <c r="AX56">
        <f t="shared" si="49"/>
        <v>1</v>
      </c>
      <c r="AY56" t="s">
        <v>52</v>
      </c>
      <c r="AZ56">
        <f t="shared" si="50"/>
        <v>1</v>
      </c>
      <c r="BA56" t="s">
        <v>52</v>
      </c>
      <c r="BB56">
        <f t="shared" si="51"/>
        <v>2</v>
      </c>
      <c r="BC56" t="s">
        <v>51</v>
      </c>
      <c r="BD56">
        <f t="shared" si="52"/>
        <v>2</v>
      </c>
      <c r="BE56" t="s">
        <v>52</v>
      </c>
      <c r="BF56">
        <f t="shared" si="53"/>
        <v>12</v>
      </c>
      <c r="BG56">
        <f t="shared" si="54"/>
        <v>0</v>
      </c>
      <c r="BH56" t="s">
        <v>54</v>
      </c>
      <c r="BI56">
        <f t="shared" si="55"/>
        <v>0</v>
      </c>
      <c r="BJ56" t="s">
        <v>53</v>
      </c>
      <c r="BK56">
        <f>IF(BL56="完全终止",2,0)</f>
        <v>2</v>
      </c>
      <c r="BL56" t="s">
        <v>55</v>
      </c>
      <c r="BM56">
        <f>IF(BN56="变格终止",2,0)</f>
        <v>2</v>
      </c>
      <c r="BN56" t="s">
        <v>56</v>
      </c>
      <c r="BO56">
        <f t="shared" si="56"/>
        <v>4</v>
      </c>
      <c r="BP56">
        <f t="shared" si="57"/>
        <v>1</v>
      </c>
      <c r="BQ56" t="s">
        <v>60</v>
      </c>
      <c r="BR56">
        <f t="shared" si="58"/>
        <v>1</v>
      </c>
      <c r="BS56" t="s">
        <v>58</v>
      </c>
      <c r="BT56">
        <f t="shared" si="59"/>
        <v>1</v>
      </c>
      <c r="BU56" t="s">
        <v>59</v>
      </c>
      <c r="BV56">
        <f t="shared" si="60"/>
        <v>1</v>
      </c>
      <c r="BW56" t="s">
        <v>61</v>
      </c>
      <c r="BX56">
        <f t="shared" si="61"/>
        <v>1</v>
      </c>
      <c r="BY56" t="s">
        <v>57</v>
      </c>
      <c r="BZ56">
        <f t="shared" si="62"/>
        <v>5</v>
      </c>
      <c r="CA56">
        <f t="shared" si="63"/>
        <v>36</v>
      </c>
    </row>
    <row r="57" spans="1:79">
      <c r="A57" t="s">
        <v>106</v>
      </c>
      <c r="B57" t="s">
        <v>67</v>
      </c>
      <c r="C57" t="s">
        <v>68</v>
      </c>
      <c r="D57" t="s">
        <v>97</v>
      </c>
      <c r="F57" t="s">
        <v>217</v>
      </c>
      <c r="G57" t="s">
        <v>107</v>
      </c>
      <c r="J57">
        <v>8</v>
      </c>
      <c r="K57">
        <v>3</v>
      </c>
      <c r="L57">
        <v>5</v>
      </c>
      <c r="M57">
        <v>1</v>
      </c>
      <c r="N57">
        <v>0</v>
      </c>
      <c r="O57">
        <v>4</v>
      </c>
      <c r="P57">
        <v>0</v>
      </c>
      <c r="Q57">
        <f t="shared" si="33"/>
        <v>1</v>
      </c>
      <c r="R57" t="s">
        <v>51</v>
      </c>
      <c r="S57">
        <f t="shared" si="34"/>
        <v>0</v>
      </c>
      <c r="T57" t="s">
        <v>51</v>
      </c>
      <c r="U57">
        <f t="shared" si="35"/>
        <v>2</v>
      </c>
      <c r="V57" t="s">
        <v>52</v>
      </c>
      <c r="W57">
        <f t="shared" si="36"/>
        <v>1</v>
      </c>
      <c r="X57" t="s">
        <v>51</v>
      </c>
      <c r="Y57">
        <f t="shared" si="37"/>
        <v>2</v>
      </c>
      <c r="Z57" t="s">
        <v>51</v>
      </c>
      <c r="AA57">
        <f t="shared" si="38"/>
        <v>0</v>
      </c>
      <c r="AB57" t="s">
        <v>51</v>
      </c>
      <c r="AC57">
        <f t="shared" si="39"/>
        <v>1</v>
      </c>
      <c r="AD57" t="s">
        <v>51</v>
      </c>
      <c r="AE57">
        <f t="shared" si="40"/>
        <v>0</v>
      </c>
      <c r="AF57" t="s">
        <v>51</v>
      </c>
      <c r="AG57">
        <f t="shared" si="41"/>
        <v>2</v>
      </c>
      <c r="AH57" t="s">
        <v>51</v>
      </c>
      <c r="AI57">
        <f t="shared" si="42"/>
        <v>0</v>
      </c>
      <c r="AJ57" t="s">
        <v>51</v>
      </c>
      <c r="AK57">
        <f t="shared" si="43"/>
        <v>9</v>
      </c>
      <c r="AL57">
        <f t="shared" si="44"/>
        <v>0</v>
      </c>
      <c r="AM57" t="s">
        <v>51</v>
      </c>
      <c r="AN57">
        <f t="shared" si="45"/>
        <v>1</v>
      </c>
      <c r="AO57" t="s">
        <v>51</v>
      </c>
      <c r="AP57">
        <f t="shared" si="46"/>
        <v>1</v>
      </c>
      <c r="AQ57" t="s">
        <v>51</v>
      </c>
      <c r="AR57">
        <f t="shared" si="66"/>
        <v>0</v>
      </c>
      <c r="AS57" t="s">
        <v>51</v>
      </c>
      <c r="AT57">
        <f t="shared" si="47"/>
        <v>0</v>
      </c>
      <c r="AU57" t="s">
        <v>51</v>
      </c>
      <c r="AV57">
        <f t="shared" si="48"/>
        <v>1</v>
      </c>
      <c r="AW57" t="s">
        <v>51</v>
      </c>
      <c r="AX57">
        <f t="shared" si="49"/>
        <v>0</v>
      </c>
      <c r="AY57" t="s">
        <v>51</v>
      </c>
      <c r="AZ57">
        <f t="shared" si="50"/>
        <v>0</v>
      </c>
      <c r="BA57" t="s">
        <v>51</v>
      </c>
      <c r="BB57">
        <f t="shared" si="51"/>
        <v>2</v>
      </c>
      <c r="BC57" t="s">
        <v>51</v>
      </c>
      <c r="BD57">
        <f t="shared" si="52"/>
        <v>0</v>
      </c>
      <c r="BE57" t="s">
        <v>51</v>
      </c>
      <c r="BF57">
        <f t="shared" si="53"/>
        <v>5</v>
      </c>
      <c r="BG57">
        <f t="shared" si="54"/>
        <v>0</v>
      </c>
      <c r="BH57" t="s">
        <v>55</v>
      </c>
      <c r="BI57">
        <f t="shared" si="55"/>
        <v>0</v>
      </c>
      <c r="BJ57" t="s">
        <v>56</v>
      </c>
      <c r="BK57">
        <f>IF(BL57="完全终止",2,0)</f>
        <v>0</v>
      </c>
      <c r="BL57" t="s">
        <v>53</v>
      </c>
      <c r="BM57">
        <f>IF(BN57="变格终止",2,0)</f>
        <v>0</v>
      </c>
      <c r="BN57" t="s">
        <v>54</v>
      </c>
      <c r="BO57">
        <f t="shared" si="56"/>
        <v>0</v>
      </c>
      <c r="BP57">
        <f t="shared" si="57"/>
        <v>0</v>
      </c>
      <c r="BQ57" t="s">
        <v>57</v>
      </c>
      <c r="BR57">
        <f t="shared" si="58"/>
        <v>0</v>
      </c>
      <c r="BS57" t="s">
        <v>60</v>
      </c>
      <c r="BT57">
        <f t="shared" si="59"/>
        <v>1</v>
      </c>
      <c r="BU57" t="s">
        <v>59</v>
      </c>
      <c r="BV57">
        <f t="shared" si="60"/>
        <v>0</v>
      </c>
      <c r="BW57" t="s">
        <v>59</v>
      </c>
      <c r="BX57">
        <f t="shared" si="61"/>
        <v>0</v>
      </c>
      <c r="BY57" t="s">
        <v>61</v>
      </c>
      <c r="BZ57">
        <f t="shared" si="62"/>
        <v>1</v>
      </c>
      <c r="CA57">
        <f t="shared" si="63"/>
        <v>15</v>
      </c>
    </row>
    <row r="58" spans="1:79">
      <c r="A58" t="s">
        <v>108</v>
      </c>
      <c r="B58" t="s">
        <v>67</v>
      </c>
      <c r="C58" t="s">
        <v>109</v>
      </c>
      <c r="D58" t="s">
        <v>97</v>
      </c>
      <c r="F58" t="s">
        <v>200</v>
      </c>
      <c r="G58" t="s">
        <v>98</v>
      </c>
      <c r="I58" t="s">
        <v>195</v>
      </c>
      <c r="J58">
        <v>8</v>
      </c>
      <c r="K58">
        <v>4</v>
      </c>
      <c r="L58">
        <v>5</v>
      </c>
      <c r="M58">
        <v>1</v>
      </c>
      <c r="N58">
        <v>0</v>
      </c>
      <c r="O58">
        <v>5</v>
      </c>
      <c r="P58">
        <v>0</v>
      </c>
      <c r="Q58">
        <f t="shared" si="33"/>
        <v>1</v>
      </c>
      <c r="R58" t="s">
        <v>51</v>
      </c>
      <c r="S58">
        <f t="shared" si="34"/>
        <v>1</v>
      </c>
      <c r="T58" t="s">
        <v>52</v>
      </c>
      <c r="U58">
        <f t="shared" si="35"/>
        <v>2</v>
      </c>
      <c r="V58" t="s">
        <v>52</v>
      </c>
      <c r="W58">
        <f t="shared" si="36"/>
        <v>0</v>
      </c>
      <c r="X58" t="s">
        <v>52</v>
      </c>
      <c r="Y58">
        <f t="shared" si="37"/>
        <v>0</v>
      </c>
      <c r="Z58" t="s">
        <v>52</v>
      </c>
      <c r="AA58">
        <f t="shared" si="38"/>
        <v>2</v>
      </c>
      <c r="AB58" t="s">
        <v>52</v>
      </c>
      <c r="AC58">
        <f t="shared" si="39"/>
        <v>1</v>
      </c>
      <c r="AD58" t="s">
        <v>51</v>
      </c>
      <c r="AE58">
        <f t="shared" si="40"/>
        <v>0</v>
      </c>
      <c r="AF58" t="s">
        <v>51</v>
      </c>
      <c r="AG58">
        <f t="shared" si="41"/>
        <v>0</v>
      </c>
      <c r="AH58" t="s">
        <v>52</v>
      </c>
      <c r="AI58">
        <f t="shared" si="42"/>
        <v>1</v>
      </c>
      <c r="AJ58" t="s">
        <v>52</v>
      </c>
      <c r="AK58">
        <f t="shared" si="43"/>
        <v>8</v>
      </c>
      <c r="AL58">
        <f t="shared" si="44"/>
        <v>0</v>
      </c>
      <c r="AM58" t="s">
        <v>51</v>
      </c>
      <c r="AN58">
        <f t="shared" si="45"/>
        <v>1</v>
      </c>
      <c r="AO58" t="s">
        <v>51</v>
      </c>
      <c r="AP58">
        <f t="shared" si="46"/>
        <v>1</v>
      </c>
      <c r="AQ58" t="s">
        <v>51</v>
      </c>
      <c r="AR58">
        <f t="shared" si="66"/>
        <v>1</v>
      </c>
      <c r="AS58" t="s">
        <v>51</v>
      </c>
      <c r="AT58">
        <f t="shared" si="47"/>
        <v>0</v>
      </c>
      <c r="AU58" t="s">
        <v>51</v>
      </c>
      <c r="AV58">
        <f t="shared" si="48"/>
        <v>1</v>
      </c>
      <c r="AW58" t="s">
        <v>51</v>
      </c>
      <c r="AX58">
        <f t="shared" si="49"/>
        <v>1</v>
      </c>
      <c r="AY58" t="s">
        <v>52</v>
      </c>
      <c r="AZ58">
        <f t="shared" si="50"/>
        <v>1</v>
      </c>
      <c r="BA58" t="s">
        <v>52</v>
      </c>
      <c r="BB58">
        <f t="shared" si="51"/>
        <v>2</v>
      </c>
      <c r="BC58" t="s">
        <v>51</v>
      </c>
      <c r="BD58">
        <f t="shared" si="52"/>
        <v>2</v>
      </c>
      <c r="BE58" t="s">
        <v>52</v>
      </c>
      <c r="BF58">
        <f t="shared" si="53"/>
        <v>10</v>
      </c>
      <c r="BG58">
        <f t="shared" si="54"/>
        <v>2</v>
      </c>
      <c r="BH58" t="s">
        <v>53</v>
      </c>
      <c r="BI58">
        <f t="shared" si="55"/>
        <v>2</v>
      </c>
      <c r="BJ58" t="s">
        <v>54</v>
      </c>
      <c r="BK58">
        <v>1</v>
      </c>
      <c r="BL58" t="s">
        <v>56</v>
      </c>
      <c r="BM58">
        <v>1</v>
      </c>
      <c r="BN58" t="s">
        <v>55</v>
      </c>
      <c r="BO58">
        <f t="shared" si="56"/>
        <v>6</v>
      </c>
      <c r="BP58">
        <f t="shared" si="57"/>
        <v>1</v>
      </c>
      <c r="BQ58" t="s">
        <v>60</v>
      </c>
      <c r="BR58">
        <f t="shared" si="58"/>
        <v>1</v>
      </c>
      <c r="BS58" t="s">
        <v>58</v>
      </c>
      <c r="BT58">
        <f t="shared" si="59"/>
        <v>1</v>
      </c>
      <c r="BU58" t="s">
        <v>59</v>
      </c>
      <c r="BV58">
        <f t="shared" si="60"/>
        <v>1</v>
      </c>
      <c r="BW58" t="s">
        <v>61</v>
      </c>
      <c r="BX58">
        <f t="shared" si="61"/>
        <v>1</v>
      </c>
      <c r="BY58" t="s">
        <v>57</v>
      </c>
      <c r="BZ58">
        <f t="shared" si="62"/>
        <v>5</v>
      </c>
      <c r="CA58">
        <f t="shared" si="63"/>
        <v>29</v>
      </c>
    </row>
    <row r="59" spans="1:79">
      <c r="A59" t="s">
        <v>119</v>
      </c>
      <c r="B59" t="s">
        <v>63</v>
      </c>
      <c r="C59" t="s">
        <v>68</v>
      </c>
      <c r="D59" t="s">
        <v>97</v>
      </c>
      <c r="F59" t="s">
        <v>225</v>
      </c>
      <c r="G59" t="s">
        <v>120</v>
      </c>
      <c r="J59">
        <v>8</v>
      </c>
      <c r="K59">
        <v>4</v>
      </c>
      <c r="L59">
        <v>5</v>
      </c>
      <c r="M59">
        <v>2</v>
      </c>
      <c r="N59">
        <v>0</v>
      </c>
      <c r="O59">
        <v>4</v>
      </c>
      <c r="P59">
        <v>0</v>
      </c>
      <c r="Q59">
        <f t="shared" si="33"/>
        <v>1</v>
      </c>
      <c r="R59" t="s">
        <v>51</v>
      </c>
      <c r="S59">
        <f t="shared" si="34"/>
        <v>0</v>
      </c>
      <c r="T59" t="s">
        <v>51</v>
      </c>
      <c r="U59">
        <f t="shared" si="35"/>
        <v>0</v>
      </c>
      <c r="V59" t="s">
        <v>51</v>
      </c>
      <c r="W59">
        <f t="shared" si="36"/>
        <v>1</v>
      </c>
      <c r="X59" t="s">
        <v>51</v>
      </c>
      <c r="Y59">
        <f t="shared" si="37"/>
        <v>0</v>
      </c>
      <c r="Z59" t="s">
        <v>52</v>
      </c>
      <c r="AA59">
        <f t="shared" si="38"/>
        <v>0</v>
      </c>
      <c r="AB59" t="s">
        <v>51</v>
      </c>
      <c r="AC59">
        <f t="shared" si="39"/>
        <v>0</v>
      </c>
      <c r="AD59" t="s">
        <v>52</v>
      </c>
      <c r="AE59">
        <f t="shared" si="40"/>
        <v>0</v>
      </c>
      <c r="AF59" t="s">
        <v>51</v>
      </c>
      <c r="AG59">
        <f t="shared" si="41"/>
        <v>2</v>
      </c>
      <c r="AH59" t="s">
        <v>51</v>
      </c>
      <c r="AI59">
        <f t="shared" si="42"/>
        <v>0</v>
      </c>
      <c r="AJ59" t="s">
        <v>51</v>
      </c>
      <c r="AK59">
        <f t="shared" si="43"/>
        <v>4</v>
      </c>
      <c r="AL59">
        <f t="shared" si="44"/>
        <v>0</v>
      </c>
      <c r="AM59" t="s">
        <v>51</v>
      </c>
      <c r="AN59">
        <f t="shared" si="45"/>
        <v>1</v>
      </c>
      <c r="AO59" t="s">
        <v>51</v>
      </c>
      <c r="AP59">
        <f t="shared" si="46"/>
        <v>1</v>
      </c>
      <c r="AQ59" t="s">
        <v>51</v>
      </c>
      <c r="AR59">
        <f t="shared" si="66"/>
        <v>1</v>
      </c>
      <c r="AS59" t="s">
        <v>51</v>
      </c>
      <c r="AT59">
        <f t="shared" si="47"/>
        <v>0</v>
      </c>
      <c r="AU59" t="s">
        <v>51</v>
      </c>
      <c r="AV59">
        <f t="shared" si="48"/>
        <v>1</v>
      </c>
      <c r="AW59" t="s">
        <v>51</v>
      </c>
      <c r="AX59">
        <f t="shared" si="49"/>
        <v>1</v>
      </c>
      <c r="AY59" t="s">
        <v>52</v>
      </c>
      <c r="AZ59">
        <f t="shared" si="50"/>
        <v>1</v>
      </c>
      <c r="BA59" t="s">
        <v>52</v>
      </c>
      <c r="BB59">
        <f t="shared" si="51"/>
        <v>2</v>
      </c>
      <c r="BC59" t="s">
        <v>51</v>
      </c>
      <c r="BD59">
        <f t="shared" si="52"/>
        <v>2</v>
      </c>
      <c r="BE59" t="s">
        <v>52</v>
      </c>
      <c r="BF59">
        <f t="shared" si="53"/>
        <v>10</v>
      </c>
      <c r="BG59">
        <f t="shared" si="54"/>
        <v>0</v>
      </c>
      <c r="BH59" t="s">
        <v>55</v>
      </c>
      <c r="BI59">
        <f t="shared" si="55"/>
        <v>0</v>
      </c>
      <c r="BJ59" t="s">
        <v>56</v>
      </c>
      <c r="BK59">
        <f>IF(BL59="完全终止",2,0)</f>
        <v>0</v>
      </c>
      <c r="BL59" t="s">
        <v>53</v>
      </c>
      <c r="BM59">
        <f>IF(BN59="变格终止",2,0)</f>
        <v>0</v>
      </c>
      <c r="BN59" t="s">
        <v>54</v>
      </c>
      <c r="BO59">
        <f t="shared" si="56"/>
        <v>0</v>
      </c>
      <c r="BP59">
        <f t="shared" si="57"/>
        <v>1</v>
      </c>
      <c r="BQ59" t="s">
        <v>60</v>
      </c>
      <c r="BR59">
        <f t="shared" si="58"/>
        <v>1</v>
      </c>
      <c r="BS59" t="s">
        <v>58</v>
      </c>
      <c r="BT59">
        <f t="shared" si="59"/>
        <v>1</v>
      </c>
      <c r="BU59" t="s">
        <v>59</v>
      </c>
      <c r="BV59">
        <f t="shared" si="60"/>
        <v>1</v>
      </c>
      <c r="BW59" t="s">
        <v>61</v>
      </c>
      <c r="BX59">
        <f t="shared" si="61"/>
        <v>1</v>
      </c>
      <c r="BY59" t="s">
        <v>57</v>
      </c>
      <c r="BZ59">
        <f t="shared" si="62"/>
        <v>5</v>
      </c>
      <c r="CA59">
        <f t="shared" si="63"/>
        <v>19</v>
      </c>
    </row>
    <row r="60" spans="1:79">
      <c r="A60" t="s">
        <v>127</v>
      </c>
      <c r="B60" t="s">
        <v>63</v>
      </c>
      <c r="C60" t="s">
        <v>76</v>
      </c>
      <c r="D60" t="s">
        <v>97</v>
      </c>
      <c r="F60" t="s">
        <v>201</v>
      </c>
      <c r="G60" t="s">
        <v>197</v>
      </c>
      <c r="J60">
        <v>8</v>
      </c>
      <c r="K60">
        <v>1</v>
      </c>
      <c r="L60">
        <v>2</v>
      </c>
      <c r="M60">
        <v>3</v>
      </c>
      <c r="N60">
        <v>0</v>
      </c>
      <c r="O60">
        <v>5</v>
      </c>
      <c r="P60">
        <v>0</v>
      </c>
      <c r="Q60">
        <f t="shared" si="33"/>
        <v>1</v>
      </c>
      <c r="R60" t="s">
        <v>51</v>
      </c>
      <c r="S60">
        <f t="shared" si="34"/>
        <v>1</v>
      </c>
      <c r="T60" t="s">
        <v>52</v>
      </c>
      <c r="U60">
        <f t="shared" si="35"/>
        <v>0</v>
      </c>
      <c r="V60" t="s">
        <v>51</v>
      </c>
      <c r="W60">
        <f t="shared" si="36"/>
        <v>1</v>
      </c>
      <c r="X60" t="s">
        <v>51</v>
      </c>
      <c r="Y60">
        <f t="shared" si="37"/>
        <v>2</v>
      </c>
      <c r="Z60" t="s">
        <v>51</v>
      </c>
      <c r="AA60">
        <f t="shared" si="38"/>
        <v>2</v>
      </c>
      <c r="AB60" t="s">
        <v>52</v>
      </c>
      <c r="AC60">
        <f t="shared" si="39"/>
        <v>1</v>
      </c>
      <c r="AD60" t="s">
        <v>51</v>
      </c>
      <c r="AE60">
        <f t="shared" si="40"/>
        <v>2</v>
      </c>
      <c r="AF60" t="s">
        <v>52</v>
      </c>
      <c r="AG60">
        <f t="shared" si="41"/>
        <v>2</v>
      </c>
      <c r="AH60" t="s">
        <v>51</v>
      </c>
      <c r="AI60">
        <f t="shared" si="42"/>
        <v>1</v>
      </c>
      <c r="AJ60" t="s">
        <v>52</v>
      </c>
      <c r="AK60">
        <f t="shared" si="43"/>
        <v>13</v>
      </c>
      <c r="AL60">
        <f t="shared" si="44"/>
        <v>0</v>
      </c>
      <c r="AM60" t="s">
        <v>51</v>
      </c>
      <c r="AN60">
        <f t="shared" si="45"/>
        <v>1</v>
      </c>
      <c r="AO60" t="s">
        <v>51</v>
      </c>
      <c r="AP60">
        <f t="shared" si="46"/>
        <v>1</v>
      </c>
      <c r="AQ60" t="s">
        <v>51</v>
      </c>
      <c r="AR60">
        <f t="shared" si="66"/>
        <v>1</v>
      </c>
      <c r="AS60" t="s">
        <v>51</v>
      </c>
      <c r="AT60">
        <f t="shared" si="47"/>
        <v>2</v>
      </c>
      <c r="AU60" t="s">
        <v>52</v>
      </c>
      <c r="AV60">
        <f t="shared" si="48"/>
        <v>1</v>
      </c>
      <c r="AW60" t="s">
        <v>51</v>
      </c>
      <c r="AX60">
        <f t="shared" si="49"/>
        <v>1</v>
      </c>
      <c r="AY60" t="s">
        <v>52</v>
      </c>
      <c r="AZ60">
        <f t="shared" si="50"/>
        <v>1</v>
      </c>
      <c r="BA60" t="s">
        <v>52</v>
      </c>
      <c r="BB60">
        <f t="shared" si="51"/>
        <v>2</v>
      </c>
      <c r="BC60" t="s">
        <v>51</v>
      </c>
      <c r="BD60">
        <f t="shared" si="52"/>
        <v>2</v>
      </c>
      <c r="BE60" t="s">
        <v>52</v>
      </c>
      <c r="BF60">
        <f t="shared" si="53"/>
        <v>12</v>
      </c>
      <c r="BG60">
        <f t="shared" si="54"/>
        <v>2</v>
      </c>
      <c r="BH60" t="s">
        <v>53</v>
      </c>
      <c r="BI60">
        <f t="shared" si="55"/>
        <v>0</v>
      </c>
      <c r="BJ60" t="s">
        <v>55</v>
      </c>
      <c r="BK60">
        <v>1</v>
      </c>
      <c r="BL60" t="s">
        <v>56</v>
      </c>
      <c r="BM60">
        <f>IF(BN60="变格终止",2,0)</f>
        <v>0</v>
      </c>
      <c r="BN60" t="s">
        <v>54</v>
      </c>
      <c r="BO60">
        <f t="shared" si="56"/>
        <v>3</v>
      </c>
      <c r="BP60">
        <f t="shared" si="57"/>
        <v>1</v>
      </c>
      <c r="BQ60" t="s">
        <v>60</v>
      </c>
      <c r="BR60">
        <f t="shared" si="58"/>
        <v>1</v>
      </c>
      <c r="BS60" t="s">
        <v>58</v>
      </c>
      <c r="BT60">
        <f t="shared" si="59"/>
        <v>1</v>
      </c>
      <c r="BU60" t="s">
        <v>59</v>
      </c>
      <c r="BV60">
        <f t="shared" si="60"/>
        <v>1</v>
      </c>
      <c r="BW60" t="s">
        <v>61</v>
      </c>
      <c r="BX60">
        <f t="shared" si="61"/>
        <v>1</v>
      </c>
      <c r="BY60" t="s">
        <v>57</v>
      </c>
      <c r="BZ60">
        <f t="shared" si="62"/>
        <v>5</v>
      </c>
      <c r="CA60">
        <f t="shared" si="63"/>
        <v>33</v>
      </c>
    </row>
    <row r="61" spans="1:79">
      <c r="A61" t="s">
        <v>128</v>
      </c>
      <c r="B61" t="s">
        <v>67</v>
      </c>
      <c r="C61" t="s">
        <v>68</v>
      </c>
      <c r="D61" t="s">
        <v>129</v>
      </c>
      <c r="F61" t="s">
        <v>226</v>
      </c>
      <c r="J61">
        <v>9</v>
      </c>
      <c r="K61">
        <v>4</v>
      </c>
      <c r="L61">
        <v>4</v>
      </c>
      <c r="M61">
        <v>3</v>
      </c>
      <c r="N61">
        <v>0</v>
      </c>
      <c r="O61">
        <v>4</v>
      </c>
      <c r="P61">
        <v>1</v>
      </c>
      <c r="Q61">
        <f t="shared" si="33"/>
        <v>1</v>
      </c>
      <c r="R61" t="s">
        <v>51</v>
      </c>
      <c r="S61">
        <f t="shared" si="34"/>
        <v>1</v>
      </c>
      <c r="T61" t="s">
        <v>52</v>
      </c>
      <c r="U61">
        <f t="shared" si="35"/>
        <v>2</v>
      </c>
      <c r="V61" t="s">
        <v>52</v>
      </c>
      <c r="W61">
        <f t="shared" si="36"/>
        <v>1</v>
      </c>
      <c r="X61" t="s">
        <v>51</v>
      </c>
      <c r="Y61">
        <f t="shared" si="37"/>
        <v>2</v>
      </c>
      <c r="Z61" t="s">
        <v>51</v>
      </c>
      <c r="AA61">
        <f t="shared" si="38"/>
        <v>0</v>
      </c>
      <c r="AB61" t="s">
        <v>51</v>
      </c>
      <c r="AC61">
        <f t="shared" si="39"/>
        <v>1</v>
      </c>
      <c r="AD61" t="s">
        <v>51</v>
      </c>
      <c r="AE61">
        <f t="shared" si="40"/>
        <v>0</v>
      </c>
      <c r="AF61" t="s">
        <v>51</v>
      </c>
      <c r="AG61">
        <f t="shared" si="41"/>
        <v>2</v>
      </c>
      <c r="AH61" t="s">
        <v>51</v>
      </c>
      <c r="AI61">
        <f t="shared" si="42"/>
        <v>1</v>
      </c>
      <c r="AJ61" t="s">
        <v>52</v>
      </c>
      <c r="AK61">
        <f t="shared" si="43"/>
        <v>11</v>
      </c>
      <c r="AL61">
        <f t="shared" si="44"/>
        <v>2</v>
      </c>
      <c r="AM61" t="s">
        <v>52</v>
      </c>
      <c r="AN61">
        <f t="shared" si="45"/>
        <v>1</v>
      </c>
      <c r="AO61" t="s">
        <v>51</v>
      </c>
      <c r="AP61">
        <f t="shared" si="46"/>
        <v>1</v>
      </c>
      <c r="AQ61" t="s">
        <v>51</v>
      </c>
      <c r="AR61">
        <f t="shared" si="66"/>
        <v>1</v>
      </c>
      <c r="AS61" t="s">
        <v>51</v>
      </c>
      <c r="AT61">
        <f t="shared" si="47"/>
        <v>2</v>
      </c>
      <c r="AU61" t="s">
        <v>52</v>
      </c>
      <c r="AV61">
        <f t="shared" si="48"/>
        <v>1</v>
      </c>
      <c r="AW61" t="s">
        <v>51</v>
      </c>
      <c r="AX61">
        <f t="shared" si="49"/>
        <v>1</v>
      </c>
      <c r="AY61" t="s">
        <v>52</v>
      </c>
      <c r="AZ61">
        <f t="shared" si="50"/>
        <v>1</v>
      </c>
      <c r="BA61" t="s">
        <v>52</v>
      </c>
      <c r="BB61">
        <f t="shared" si="51"/>
        <v>2</v>
      </c>
      <c r="BC61" t="s">
        <v>51</v>
      </c>
      <c r="BD61">
        <f t="shared" si="52"/>
        <v>2</v>
      </c>
      <c r="BE61" t="s">
        <v>52</v>
      </c>
      <c r="BF61">
        <f t="shared" si="53"/>
        <v>14</v>
      </c>
      <c r="BG61">
        <f t="shared" si="54"/>
        <v>2</v>
      </c>
      <c r="BH61" t="s">
        <v>53</v>
      </c>
      <c r="BI61">
        <f t="shared" si="55"/>
        <v>2</v>
      </c>
      <c r="BJ61" t="s">
        <v>54</v>
      </c>
      <c r="BK61">
        <v>1</v>
      </c>
      <c r="BL61" t="s">
        <v>56</v>
      </c>
      <c r="BM61">
        <v>1</v>
      </c>
      <c r="BN61" t="s">
        <v>55</v>
      </c>
      <c r="BO61">
        <f t="shared" si="56"/>
        <v>6</v>
      </c>
      <c r="BP61">
        <f t="shared" si="57"/>
        <v>1</v>
      </c>
      <c r="BQ61" t="s">
        <v>60</v>
      </c>
      <c r="BR61">
        <f t="shared" si="58"/>
        <v>0</v>
      </c>
      <c r="BS61" t="s">
        <v>57</v>
      </c>
      <c r="BT61">
        <f t="shared" si="59"/>
        <v>1</v>
      </c>
      <c r="BU61" t="s">
        <v>59</v>
      </c>
      <c r="BV61">
        <f t="shared" si="60"/>
        <v>1</v>
      </c>
      <c r="BW61" t="s">
        <v>61</v>
      </c>
      <c r="BX61">
        <f t="shared" si="61"/>
        <v>0</v>
      </c>
      <c r="BY61" t="s">
        <v>58</v>
      </c>
      <c r="BZ61">
        <f t="shared" si="62"/>
        <v>3</v>
      </c>
      <c r="CA61">
        <f t="shared" si="63"/>
        <v>34</v>
      </c>
    </row>
    <row r="62" spans="1:79">
      <c r="A62" t="s">
        <v>130</v>
      </c>
      <c r="B62" t="s">
        <v>67</v>
      </c>
      <c r="C62" t="s">
        <v>71</v>
      </c>
      <c r="D62" t="s">
        <v>129</v>
      </c>
      <c r="F62" t="s">
        <v>227</v>
      </c>
      <c r="J62">
        <v>9</v>
      </c>
      <c r="K62">
        <v>4</v>
      </c>
      <c r="L62">
        <v>5</v>
      </c>
      <c r="M62">
        <v>2</v>
      </c>
      <c r="N62">
        <v>0</v>
      </c>
      <c r="O62">
        <v>5</v>
      </c>
      <c r="P62">
        <v>0</v>
      </c>
      <c r="Q62">
        <f t="shared" si="33"/>
        <v>1</v>
      </c>
      <c r="R62" t="s">
        <v>51</v>
      </c>
      <c r="S62">
        <f t="shared" si="34"/>
        <v>1</v>
      </c>
      <c r="T62" t="s">
        <v>52</v>
      </c>
      <c r="U62">
        <f t="shared" si="35"/>
        <v>2</v>
      </c>
      <c r="V62" t="s">
        <v>52</v>
      </c>
      <c r="W62">
        <f t="shared" si="36"/>
        <v>1</v>
      </c>
      <c r="X62" t="s">
        <v>51</v>
      </c>
      <c r="Y62">
        <f t="shared" si="37"/>
        <v>2</v>
      </c>
      <c r="Z62" t="s">
        <v>51</v>
      </c>
      <c r="AA62">
        <f t="shared" si="38"/>
        <v>2</v>
      </c>
      <c r="AB62" t="s">
        <v>52</v>
      </c>
      <c r="AC62">
        <f t="shared" si="39"/>
        <v>1</v>
      </c>
      <c r="AD62" t="s">
        <v>51</v>
      </c>
      <c r="AE62">
        <f t="shared" si="40"/>
        <v>2</v>
      </c>
      <c r="AF62" t="s">
        <v>52</v>
      </c>
      <c r="AG62">
        <f t="shared" si="41"/>
        <v>0</v>
      </c>
      <c r="AH62" t="s">
        <v>52</v>
      </c>
      <c r="AI62">
        <f t="shared" si="42"/>
        <v>1</v>
      </c>
      <c r="AJ62" t="s">
        <v>52</v>
      </c>
      <c r="AK62">
        <f t="shared" si="43"/>
        <v>13</v>
      </c>
      <c r="AL62">
        <f t="shared" si="44"/>
        <v>0</v>
      </c>
      <c r="AM62" t="s">
        <v>51</v>
      </c>
      <c r="AN62">
        <f t="shared" si="45"/>
        <v>1</v>
      </c>
      <c r="AO62" t="s">
        <v>51</v>
      </c>
      <c r="AP62">
        <f t="shared" si="46"/>
        <v>1</v>
      </c>
      <c r="AQ62" t="s">
        <v>51</v>
      </c>
      <c r="AR62">
        <f t="shared" si="66"/>
        <v>1</v>
      </c>
      <c r="AS62" t="s">
        <v>51</v>
      </c>
      <c r="AT62">
        <f t="shared" si="47"/>
        <v>2</v>
      </c>
      <c r="AU62" t="s">
        <v>52</v>
      </c>
      <c r="AV62">
        <f t="shared" si="48"/>
        <v>1</v>
      </c>
      <c r="AW62" t="s">
        <v>51</v>
      </c>
      <c r="AX62">
        <f t="shared" si="49"/>
        <v>1</v>
      </c>
      <c r="AY62" t="s">
        <v>52</v>
      </c>
      <c r="AZ62">
        <f t="shared" si="50"/>
        <v>1</v>
      </c>
      <c r="BA62" t="s">
        <v>52</v>
      </c>
      <c r="BB62">
        <f t="shared" si="51"/>
        <v>2</v>
      </c>
      <c r="BC62" t="s">
        <v>51</v>
      </c>
      <c r="BD62">
        <f t="shared" si="52"/>
        <v>2</v>
      </c>
      <c r="BE62" t="s">
        <v>52</v>
      </c>
      <c r="BF62">
        <f t="shared" si="53"/>
        <v>12</v>
      </c>
      <c r="BG62">
        <f t="shared" si="54"/>
        <v>0</v>
      </c>
      <c r="BH62" t="s">
        <v>55</v>
      </c>
      <c r="BI62">
        <f t="shared" si="55"/>
        <v>0</v>
      </c>
      <c r="BJ62" t="s">
        <v>56</v>
      </c>
      <c r="BK62">
        <f>IF(BL62="完全终止",2,0)</f>
        <v>0</v>
      </c>
      <c r="BL62" t="s">
        <v>53</v>
      </c>
      <c r="BM62">
        <f>IF(BN62="变格终止",2,0)</f>
        <v>0</v>
      </c>
      <c r="BN62" t="s">
        <v>54</v>
      </c>
      <c r="BO62">
        <f t="shared" si="56"/>
        <v>0</v>
      </c>
      <c r="BP62">
        <f t="shared" si="57"/>
        <v>0</v>
      </c>
      <c r="BQ62" t="s">
        <v>58</v>
      </c>
      <c r="BR62">
        <f t="shared" si="58"/>
        <v>0</v>
      </c>
      <c r="BS62" t="s">
        <v>57</v>
      </c>
      <c r="BT62">
        <f t="shared" si="59"/>
        <v>1</v>
      </c>
      <c r="BU62" t="s">
        <v>59</v>
      </c>
      <c r="BV62">
        <f t="shared" si="60"/>
        <v>1</v>
      </c>
      <c r="BW62" t="s">
        <v>61</v>
      </c>
      <c r="BX62">
        <f t="shared" si="61"/>
        <v>0</v>
      </c>
      <c r="BY62" t="s">
        <v>60</v>
      </c>
      <c r="BZ62">
        <f t="shared" si="62"/>
        <v>2</v>
      </c>
      <c r="CA62">
        <f t="shared" si="63"/>
        <v>27</v>
      </c>
    </row>
    <row r="63" spans="1:79">
      <c r="A63" t="s">
        <v>131</v>
      </c>
      <c r="B63" t="s">
        <v>63</v>
      </c>
      <c r="C63" t="s">
        <v>48</v>
      </c>
      <c r="D63" t="s">
        <v>129</v>
      </c>
      <c r="F63" t="s">
        <v>228</v>
      </c>
      <c r="J63">
        <v>9</v>
      </c>
      <c r="K63">
        <v>3</v>
      </c>
      <c r="L63">
        <v>2</v>
      </c>
      <c r="M63">
        <v>1</v>
      </c>
      <c r="N63">
        <v>1</v>
      </c>
      <c r="O63">
        <v>5</v>
      </c>
      <c r="P63">
        <v>0</v>
      </c>
      <c r="Q63">
        <f t="shared" si="33"/>
        <v>1</v>
      </c>
      <c r="R63" t="s">
        <v>51</v>
      </c>
      <c r="S63">
        <f t="shared" si="34"/>
        <v>1</v>
      </c>
      <c r="T63" t="s">
        <v>52</v>
      </c>
      <c r="U63">
        <f t="shared" si="35"/>
        <v>2</v>
      </c>
      <c r="V63" t="s">
        <v>52</v>
      </c>
      <c r="W63">
        <f t="shared" si="36"/>
        <v>1</v>
      </c>
      <c r="X63" t="s">
        <v>51</v>
      </c>
      <c r="Y63">
        <f t="shared" si="37"/>
        <v>2</v>
      </c>
      <c r="Z63" t="s">
        <v>51</v>
      </c>
      <c r="AA63">
        <f t="shared" si="38"/>
        <v>2</v>
      </c>
      <c r="AB63" t="s">
        <v>52</v>
      </c>
      <c r="AC63">
        <f t="shared" si="39"/>
        <v>1</v>
      </c>
      <c r="AD63" t="s">
        <v>51</v>
      </c>
      <c r="AE63">
        <f t="shared" si="40"/>
        <v>2</v>
      </c>
      <c r="AF63" t="s">
        <v>52</v>
      </c>
      <c r="AG63">
        <f t="shared" si="41"/>
        <v>2</v>
      </c>
      <c r="AH63" t="s">
        <v>51</v>
      </c>
      <c r="AI63">
        <f t="shared" si="42"/>
        <v>1</v>
      </c>
      <c r="AJ63" t="s">
        <v>52</v>
      </c>
      <c r="AK63">
        <f t="shared" si="43"/>
        <v>15</v>
      </c>
      <c r="AL63">
        <f t="shared" si="44"/>
        <v>2</v>
      </c>
      <c r="AM63" t="s">
        <v>52</v>
      </c>
      <c r="AN63">
        <f t="shared" si="45"/>
        <v>1</v>
      </c>
      <c r="AO63" t="s">
        <v>51</v>
      </c>
      <c r="AP63">
        <f t="shared" si="46"/>
        <v>1</v>
      </c>
      <c r="AQ63" t="s">
        <v>51</v>
      </c>
      <c r="AR63">
        <f t="shared" si="66"/>
        <v>1</v>
      </c>
      <c r="AS63" t="s">
        <v>51</v>
      </c>
      <c r="AT63">
        <f t="shared" si="47"/>
        <v>2</v>
      </c>
      <c r="AU63" t="s">
        <v>52</v>
      </c>
      <c r="AV63">
        <f t="shared" si="48"/>
        <v>0</v>
      </c>
      <c r="AW63" t="s">
        <v>52</v>
      </c>
      <c r="AX63">
        <f t="shared" si="49"/>
        <v>1</v>
      </c>
      <c r="AY63" t="s">
        <v>52</v>
      </c>
      <c r="AZ63">
        <f t="shared" si="50"/>
        <v>1</v>
      </c>
      <c r="BA63" t="s">
        <v>52</v>
      </c>
      <c r="BB63">
        <f t="shared" si="51"/>
        <v>2</v>
      </c>
      <c r="BC63" t="s">
        <v>51</v>
      </c>
      <c r="BD63">
        <f t="shared" si="52"/>
        <v>2</v>
      </c>
      <c r="BE63" t="s">
        <v>52</v>
      </c>
      <c r="BF63">
        <f t="shared" si="53"/>
        <v>13</v>
      </c>
      <c r="BG63">
        <f t="shared" si="54"/>
        <v>0</v>
      </c>
      <c r="BH63" t="s">
        <v>55</v>
      </c>
      <c r="BI63">
        <f t="shared" si="55"/>
        <v>2</v>
      </c>
      <c r="BJ63" t="s">
        <v>54</v>
      </c>
      <c r="BK63">
        <v>1</v>
      </c>
      <c r="BL63" t="s">
        <v>56</v>
      </c>
      <c r="BM63">
        <v>0</v>
      </c>
      <c r="BN63" t="s">
        <v>53</v>
      </c>
      <c r="BO63">
        <f t="shared" si="56"/>
        <v>3</v>
      </c>
      <c r="BP63">
        <f t="shared" si="57"/>
        <v>1</v>
      </c>
      <c r="BQ63" t="s">
        <v>60</v>
      </c>
      <c r="BR63">
        <f t="shared" si="58"/>
        <v>1</v>
      </c>
      <c r="BS63" t="s">
        <v>58</v>
      </c>
      <c r="BT63">
        <f t="shared" si="59"/>
        <v>1</v>
      </c>
      <c r="BU63" t="s">
        <v>59</v>
      </c>
      <c r="BV63">
        <f t="shared" si="60"/>
        <v>1</v>
      </c>
      <c r="BW63" t="s">
        <v>61</v>
      </c>
      <c r="BX63">
        <f t="shared" si="61"/>
        <v>1</v>
      </c>
      <c r="BY63" t="s">
        <v>57</v>
      </c>
      <c r="BZ63">
        <f t="shared" si="62"/>
        <v>5</v>
      </c>
      <c r="CA63">
        <f t="shared" si="63"/>
        <v>36</v>
      </c>
    </row>
    <row r="64" spans="1:79">
      <c r="A64" t="s">
        <v>132</v>
      </c>
      <c r="B64" t="s">
        <v>67</v>
      </c>
      <c r="C64" t="s">
        <v>76</v>
      </c>
      <c r="D64" t="s">
        <v>129</v>
      </c>
      <c r="F64" t="s">
        <v>229</v>
      </c>
      <c r="J64">
        <v>9</v>
      </c>
      <c r="K64">
        <v>4</v>
      </c>
      <c r="L64">
        <v>5</v>
      </c>
      <c r="M64">
        <v>2</v>
      </c>
      <c r="N64">
        <v>2</v>
      </c>
      <c r="O64">
        <v>5</v>
      </c>
      <c r="P64">
        <v>0</v>
      </c>
      <c r="Q64">
        <f t="shared" si="33"/>
        <v>1</v>
      </c>
      <c r="R64" t="s">
        <v>51</v>
      </c>
      <c r="S64">
        <f t="shared" si="34"/>
        <v>1</v>
      </c>
      <c r="T64" t="s">
        <v>52</v>
      </c>
      <c r="U64">
        <f t="shared" si="35"/>
        <v>2</v>
      </c>
      <c r="V64" t="s">
        <v>52</v>
      </c>
      <c r="W64">
        <f t="shared" si="36"/>
        <v>1</v>
      </c>
      <c r="X64" t="s">
        <v>51</v>
      </c>
      <c r="Y64">
        <f t="shared" si="37"/>
        <v>2</v>
      </c>
      <c r="Z64" t="s">
        <v>51</v>
      </c>
      <c r="AA64">
        <f t="shared" si="38"/>
        <v>2</v>
      </c>
      <c r="AB64" t="s">
        <v>52</v>
      </c>
      <c r="AC64">
        <f t="shared" si="39"/>
        <v>1</v>
      </c>
      <c r="AD64" t="s">
        <v>51</v>
      </c>
      <c r="AE64">
        <f t="shared" si="40"/>
        <v>2</v>
      </c>
      <c r="AF64" t="s">
        <v>52</v>
      </c>
      <c r="AG64">
        <f t="shared" si="41"/>
        <v>2</v>
      </c>
      <c r="AH64" t="s">
        <v>51</v>
      </c>
      <c r="AI64">
        <f t="shared" si="42"/>
        <v>1</v>
      </c>
      <c r="AJ64" t="s">
        <v>52</v>
      </c>
      <c r="AK64">
        <f t="shared" si="43"/>
        <v>15</v>
      </c>
      <c r="AL64">
        <f t="shared" si="44"/>
        <v>0</v>
      </c>
      <c r="AM64" t="s">
        <v>51</v>
      </c>
      <c r="AN64">
        <f t="shared" si="45"/>
        <v>1</v>
      </c>
      <c r="AO64" t="s">
        <v>51</v>
      </c>
      <c r="AP64">
        <f t="shared" si="46"/>
        <v>1</v>
      </c>
      <c r="AQ64" t="s">
        <v>51</v>
      </c>
      <c r="AR64">
        <f t="shared" si="66"/>
        <v>1</v>
      </c>
      <c r="AS64" t="s">
        <v>51</v>
      </c>
      <c r="AT64">
        <f t="shared" si="47"/>
        <v>2</v>
      </c>
      <c r="AU64" t="s">
        <v>52</v>
      </c>
      <c r="AV64">
        <f t="shared" si="48"/>
        <v>1</v>
      </c>
      <c r="AW64" t="s">
        <v>51</v>
      </c>
      <c r="AX64">
        <f t="shared" si="49"/>
        <v>1</v>
      </c>
      <c r="AY64" t="s">
        <v>52</v>
      </c>
      <c r="AZ64">
        <f t="shared" si="50"/>
        <v>1</v>
      </c>
      <c r="BA64" t="s">
        <v>52</v>
      </c>
      <c r="BB64">
        <f t="shared" si="51"/>
        <v>2</v>
      </c>
      <c r="BC64" t="s">
        <v>51</v>
      </c>
      <c r="BD64">
        <f t="shared" si="52"/>
        <v>2</v>
      </c>
      <c r="BE64" t="s">
        <v>52</v>
      </c>
      <c r="BF64">
        <f t="shared" si="53"/>
        <v>12</v>
      </c>
      <c r="BG64">
        <f t="shared" si="54"/>
        <v>0</v>
      </c>
      <c r="BH64" t="s">
        <v>56</v>
      </c>
      <c r="BI64">
        <f t="shared" si="55"/>
        <v>0</v>
      </c>
      <c r="BJ64" t="s">
        <v>53</v>
      </c>
      <c r="BK64">
        <f>IF(BL64="完全终止",2,0)</f>
        <v>0</v>
      </c>
      <c r="BL64" t="s">
        <v>54</v>
      </c>
      <c r="BM64">
        <v>1</v>
      </c>
      <c r="BN64" t="s">
        <v>55</v>
      </c>
      <c r="BO64">
        <f t="shared" si="56"/>
        <v>1</v>
      </c>
      <c r="BP64">
        <f t="shared" si="57"/>
        <v>1</v>
      </c>
      <c r="BQ64" t="s">
        <v>60</v>
      </c>
      <c r="BR64">
        <f t="shared" si="58"/>
        <v>0</v>
      </c>
      <c r="BS64" t="s">
        <v>59</v>
      </c>
      <c r="BT64">
        <f t="shared" si="59"/>
        <v>0</v>
      </c>
      <c r="BU64" t="s">
        <v>61</v>
      </c>
      <c r="BV64">
        <f t="shared" si="60"/>
        <v>0</v>
      </c>
      <c r="BW64" t="s">
        <v>58</v>
      </c>
      <c r="BX64">
        <f t="shared" si="61"/>
        <v>1</v>
      </c>
      <c r="BY64" t="s">
        <v>57</v>
      </c>
      <c r="BZ64">
        <f t="shared" si="62"/>
        <v>2</v>
      </c>
      <c r="CA64">
        <f t="shared" si="63"/>
        <v>30</v>
      </c>
    </row>
    <row r="65" spans="1:79">
      <c r="A65" t="s">
        <v>133</v>
      </c>
      <c r="B65" t="s">
        <v>67</v>
      </c>
      <c r="C65" t="s">
        <v>48</v>
      </c>
      <c r="D65" t="s">
        <v>129</v>
      </c>
      <c r="F65" t="s">
        <v>230</v>
      </c>
      <c r="J65">
        <v>9</v>
      </c>
      <c r="K65">
        <v>3</v>
      </c>
      <c r="L65">
        <v>4</v>
      </c>
      <c r="M65">
        <v>2</v>
      </c>
      <c r="N65">
        <v>0</v>
      </c>
      <c r="O65">
        <v>5</v>
      </c>
      <c r="P65">
        <v>0</v>
      </c>
      <c r="Q65">
        <f t="shared" si="33"/>
        <v>1</v>
      </c>
      <c r="R65" t="s">
        <v>51</v>
      </c>
      <c r="S65">
        <f t="shared" si="34"/>
        <v>1</v>
      </c>
      <c r="T65" t="s">
        <v>52</v>
      </c>
      <c r="U65">
        <f t="shared" si="35"/>
        <v>2</v>
      </c>
      <c r="V65" t="s">
        <v>52</v>
      </c>
      <c r="W65">
        <f t="shared" si="36"/>
        <v>1</v>
      </c>
      <c r="X65" t="s">
        <v>51</v>
      </c>
      <c r="Y65">
        <f t="shared" si="37"/>
        <v>2</v>
      </c>
      <c r="Z65" t="s">
        <v>51</v>
      </c>
      <c r="AA65">
        <f t="shared" si="38"/>
        <v>2</v>
      </c>
      <c r="AB65" t="s">
        <v>52</v>
      </c>
      <c r="AC65">
        <f t="shared" si="39"/>
        <v>1</v>
      </c>
      <c r="AD65" t="s">
        <v>51</v>
      </c>
      <c r="AE65">
        <f t="shared" si="40"/>
        <v>2</v>
      </c>
      <c r="AF65" t="s">
        <v>52</v>
      </c>
      <c r="AG65">
        <f t="shared" si="41"/>
        <v>2</v>
      </c>
      <c r="AH65" t="s">
        <v>51</v>
      </c>
      <c r="AI65">
        <f t="shared" si="42"/>
        <v>1</v>
      </c>
      <c r="AJ65" t="s">
        <v>52</v>
      </c>
      <c r="AK65">
        <f t="shared" si="43"/>
        <v>15</v>
      </c>
      <c r="AL65">
        <f t="shared" si="44"/>
        <v>2</v>
      </c>
      <c r="AM65" t="s">
        <v>52</v>
      </c>
      <c r="AN65">
        <f t="shared" si="45"/>
        <v>1</v>
      </c>
      <c r="AO65" t="s">
        <v>51</v>
      </c>
      <c r="AP65">
        <f t="shared" si="46"/>
        <v>0</v>
      </c>
      <c r="AQ65" t="s">
        <v>52</v>
      </c>
      <c r="AR65">
        <f t="shared" si="66"/>
        <v>1</v>
      </c>
      <c r="AS65" t="s">
        <v>51</v>
      </c>
      <c r="AT65">
        <f t="shared" si="47"/>
        <v>2</v>
      </c>
      <c r="AU65" t="s">
        <v>52</v>
      </c>
      <c r="AV65">
        <f t="shared" si="48"/>
        <v>1</v>
      </c>
      <c r="AW65" t="s">
        <v>51</v>
      </c>
      <c r="AX65">
        <f t="shared" si="49"/>
        <v>1</v>
      </c>
      <c r="AY65" t="s">
        <v>52</v>
      </c>
      <c r="AZ65">
        <f t="shared" si="50"/>
        <v>1</v>
      </c>
      <c r="BA65" t="s">
        <v>52</v>
      </c>
      <c r="BB65">
        <f t="shared" si="51"/>
        <v>0</v>
      </c>
      <c r="BC65" t="s">
        <v>52</v>
      </c>
      <c r="BD65">
        <f t="shared" si="52"/>
        <v>2</v>
      </c>
      <c r="BE65" t="s">
        <v>52</v>
      </c>
      <c r="BF65">
        <f t="shared" si="53"/>
        <v>11</v>
      </c>
      <c r="BG65">
        <f t="shared" si="54"/>
        <v>0</v>
      </c>
      <c r="BH65" t="s">
        <v>56</v>
      </c>
      <c r="BI65">
        <f t="shared" si="55"/>
        <v>2</v>
      </c>
      <c r="BJ65" t="s">
        <v>54</v>
      </c>
      <c r="BK65">
        <f>IF(BL65="完全终止",2,0)</f>
        <v>2</v>
      </c>
      <c r="BL65" t="s">
        <v>55</v>
      </c>
      <c r="BM65">
        <f>IF(BN65="变格终止",2,0)</f>
        <v>0</v>
      </c>
      <c r="BN65" t="s">
        <v>53</v>
      </c>
      <c r="BO65">
        <f t="shared" si="56"/>
        <v>4</v>
      </c>
      <c r="BP65">
        <f t="shared" si="57"/>
        <v>1</v>
      </c>
      <c r="BQ65" t="s">
        <v>60</v>
      </c>
      <c r="BR65">
        <f t="shared" si="58"/>
        <v>1</v>
      </c>
      <c r="BS65" t="s">
        <v>58</v>
      </c>
      <c r="BT65">
        <f t="shared" si="59"/>
        <v>1</v>
      </c>
      <c r="BU65" t="s">
        <v>59</v>
      </c>
      <c r="BV65">
        <f t="shared" si="60"/>
        <v>1</v>
      </c>
      <c r="BW65" t="s">
        <v>61</v>
      </c>
      <c r="BX65">
        <f t="shared" si="61"/>
        <v>1</v>
      </c>
      <c r="BY65" t="s">
        <v>57</v>
      </c>
      <c r="BZ65">
        <f t="shared" si="62"/>
        <v>5</v>
      </c>
      <c r="CA65">
        <f t="shared" si="63"/>
        <v>35</v>
      </c>
    </row>
    <row r="66" spans="1:79">
      <c r="A66" t="s">
        <v>134</v>
      </c>
      <c r="B66" t="s">
        <v>63</v>
      </c>
      <c r="C66" t="s">
        <v>76</v>
      </c>
      <c r="D66" t="s">
        <v>129</v>
      </c>
      <c r="F66" t="s">
        <v>217</v>
      </c>
      <c r="J66">
        <v>9</v>
      </c>
      <c r="K66">
        <v>4</v>
      </c>
      <c r="L66">
        <v>5</v>
      </c>
      <c r="M66">
        <v>2</v>
      </c>
      <c r="N66">
        <v>0</v>
      </c>
      <c r="O66">
        <v>5</v>
      </c>
      <c r="P66">
        <v>0</v>
      </c>
      <c r="Q66">
        <f t="shared" ref="Q66:Q74" si="67">IF(R66="不同",1,0)</f>
        <v>1</v>
      </c>
      <c r="R66" t="s">
        <v>51</v>
      </c>
      <c r="S66">
        <f t="shared" ref="S66:S74" si="68">IF(T66="相同",1,0)</f>
        <v>0</v>
      </c>
      <c r="T66" t="s">
        <v>51</v>
      </c>
      <c r="U66">
        <f t="shared" ref="U66:U74" si="69">IF(V66="相同",2,0)</f>
        <v>0</v>
      </c>
      <c r="V66" t="s">
        <v>51</v>
      </c>
      <c r="W66">
        <f t="shared" ref="W66:W74" si="70">IF(X66="不同",1,0)</f>
        <v>1</v>
      </c>
      <c r="X66" t="s">
        <v>51</v>
      </c>
      <c r="Y66">
        <f t="shared" ref="Y66:Y74" si="71">IF(Z66="不同",2,0)</f>
        <v>0</v>
      </c>
      <c r="Z66" t="s">
        <v>52</v>
      </c>
      <c r="AA66">
        <f t="shared" ref="AA66:AA74" si="72">IF(AB66="相同",2,0)</f>
        <v>0</v>
      </c>
      <c r="AB66" t="s">
        <v>51</v>
      </c>
      <c r="AC66">
        <f t="shared" ref="AC66:AC74" si="73">IF(AD66="不同",1,0)</f>
        <v>1</v>
      </c>
      <c r="AD66" t="s">
        <v>51</v>
      </c>
      <c r="AE66">
        <f t="shared" ref="AE66:AE74" si="74">IF(AF66="相同",2,0)</f>
        <v>2</v>
      </c>
      <c r="AF66" t="s">
        <v>52</v>
      </c>
      <c r="AG66">
        <f t="shared" ref="AG66:AG74" si="75">IF(AH66="不同",2,0)</f>
        <v>2</v>
      </c>
      <c r="AH66" t="s">
        <v>51</v>
      </c>
      <c r="AI66">
        <f t="shared" ref="AI66:AI74" si="76">IF(AJ66="相同",1,0)</f>
        <v>0</v>
      </c>
      <c r="AJ66" t="s">
        <v>51</v>
      </c>
      <c r="AK66">
        <f t="shared" ref="AK66:AK74" si="77">SUM(Q66,S66,U66,W66,Y66,AA66,AC66,AE66,AG66,AI66)</f>
        <v>7</v>
      </c>
      <c r="AL66">
        <f t="shared" ref="AL66:AL74" si="78">IF(AM66="相同",2,0)</f>
        <v>0</v>
      </c>
      <c r="AM66" t="s">
        <v>51</v>
      </c>
      <c r="AN66">
        <f t="shared" ref="AN66:AN74" si="79">IF(AO66="不同",1,0)</f>
        <v>1</v>
      </c>
      <c r="AO66" t="s">
        <v>51</v>
      </c>
      <c r="AP66">
        <f t="shared" ref="AP66:AP74" si="80">IF(AQ66="不同",1,0)</f>
        <v>0</v>
      </c>
      <c r="AQ66" t="s">
        <v>52</v>
      </c>
      <c r="AR66">
        <f t="shared" si="66"/>
        <v>1</v>
      </c>
      <c r="AS66" t="s">
        <v>51</v>
      </c>
      <c r="AT66">
        <f t="shared" ref="AT66:AT74" si="81">IF(AU66="相同",2,0)</f>
        <v>0</v>
      </c>
      <c r="AU66" t="s">
        <v>51</v>
      </c>
      <c r="AV66">
        <f t="shared" ref="AV66:AV74" si="82">IF(AW66="不同",1,0)</f>
        <v>1</v>
      </c>
      <c r="AW66" t="s">
        <v>51</v>
      </c>
      <c r="AX66">
        <f t="shared" ref="AX66:AX74" si="83">IF(AY66="相同",1,0)</f>
        <v>0</v>
      </c>
      <c r="AY66" t="s">
        <v>51</v>
      </c>
      <c r="AZ66">
        <f t="shared" ref="AZ66:AZ74" si="84">IF(BA66="相同",1,0)</f>
        <v>0</v>
      </c>
      <c r="BA66" t="s">
        <v>51</v>
      </c>
      <c r="BB66">
        <f t="shared" ref="BB66:BB74" si="85">IF(BC66="不同",2,0)</f>
        <v>2</v>
      </c>
      <c r="BC66" t="s">
        <v>51</v>
      </c>
      <c r="BD66">
        <f t="shared" ref="BD66:BD74" si="86">IF(BE66="相同",2,0)</f>
        <v>0</v>
      </c>
      <c r="BE66" t="s">
        <v>51</v>
      </c>
      <c r="BF66">
        <f t="shared" ref="BF66:BF74" si="87">SUM(AL66,AN66,AP66,AR66,AT66,AV66,AX66,AZ66,BB66,BD66)</f>
        <v>5</v>
      </c>
      <c r="BG66">
        <f t="shared" ref="BG66:BG74" si="88">IF(BH66="导音终止",2,0)</f>
        <v>0</v>
      </c>
      <c r="BH66" t="s">
        <v>55</v>
      </c>
      <c r="BI66">
        <f t="shared" ref="BI66:BI74" si="89">IF(BJ66="阻碍终止",2,0)</f>
        <v>0</v>
      </c>
      <c r="BJ66" t="s">
        <v>56</v>
      </c>
      <c r="BK66">
        <f>IF(BL66="完全终止",2,0)</f>
        <v>0</v>
      </c>
      <c r="BL66" t="s">
        <v>53</v>
      </c>
      <c r="BM66">
        <f>IF(BN66="变格终止",2,0)</f>
        <v>0</v>
      </c>
      <c r="BN66" t="s">
        <v>54</v>
      </c>
      <c r="BO66">
        <f t="shared" ref="BO66:BO74" si="90">SUM(BG66,BI66,BK66,BM66)</f>
        <v>0</v>
      </c>
      <c r="BP66">
        <f t="shared" ref="BP66:BP74" si="91">IF(BQ66="Drill",1,0)</f>
        <v>0</v>
      </c>
      <c r="BQ66" t="s">
        <v>57</v>
      </c>
      <c r="BR66">
        <f t="shared" ref="BR66:BR74" si="92">IF(BS66="Reggaetton",1,0)</f>
        <v>0</v>
      </c>
      <c r="BS66" t="s">
        <v>60</v>
      </c>
      <c r="BT66">
        <f t="shared" ref="BT66:BT74" si="93">IF(BU66="R&amp;B",1,0)</f>
        <v>0</v>
      </c>
      <c r="BU66" t="s">
        <v>61</v>
      </c>
      <c r="BV66">
        <f t="shared" ref="BV66:BV74" si="94">IF(BW66="Drum &amp; Bass",1,0)</f>
        <v>0</v>
      </c>
      <c r="BW66" t="s">
        <v>58</v>
      </c>
      <c r="BX66">
        <f t="shared" ref="BX66:BX74" si="95">IF(BY66="Trap",1,0)</f>
        <v>0</v>
      </c>
      <c r="BY66" t="s">
        <v>59</v>
      </c>
      <c r="BZ66">
        <f t="shared" ref="BZ66:BZ74" si="96">SUM(BP66,BR66,BT66,BV66,BX66)</f>
        <v>0</v>
      </c>
      <c r="CA66">
        <f t="shared" ref="CA66:CA74" si="97">SUM(BZ66+BO66+BF66+AK66)</f>
        <v>12</v>
      </c>
    </row>
    <row r="67" spans="1:79">
      <c r="A67" t="s">
        <v>135</v>
      </c>
      <c r="B67" t="s">
        <v>63</v>
      </c>
      <c r="C67" t="s">
        <v>76</v>
      </c>
      <c r="D67" t="s">
        <v>129</v>
      </c>
      <c r="F67" t="s">
        <v>231</v>
      </c>
      <c r="J67">
        <v>9</v>
      </c>
      <c r="K67">
        <v>4</v>
      </c>
      <c r="L67">
        <v>5</v>
      </c>
      <c r="M67">
        <v>2</v>
      </c>
      <c r="N67">
        <v>5</v>
      </c>
      <c r="O67">
        <v>5</v>
      </c>
      <c r="P67">
        <v>1</v>
      </c>
      <c r="Q67">
        <f t="shared" si="67"/>
        <v>1</v>
      </c>
      <c r="R67" t="s">
        <v>51</v>
      </c>
      <c r="S67">
        <f t="shared" si="68"/>
        <v>1</v>
      </c>
      <c r="T67" t="s">
        <v>52</v>
      </c>
      <c r="U67">
        <f t="shared" si="69"/>
        <v>2</v>
      </c>
      <c r="V67" t="s">
        <v>52</v>
      </c>
      <c r="W67">
        <f t="shared" si="70"/>
        <v>1</v>
      </c>
      <c r="X67" t="s">
        <v>51</v>
      </c>
      <c r="Y67">
        <f t="shared" si="71"/>
        <v>2</v>
      </c>
      <c r="Z67" t="s">
        <v>51</v>
      </c>
      <c r="AA67">
        <f t="shared" si="72"/>
        <v>2</v>
      </c>
      <c r="AB67" t="s">
        <v>52</v>
      </c>
      <c r="AC67">
        <f t="shared" si="73"/>
        <v>1</v>
      </c>
      <c r="AD67" t="s">
        <v>51</v>
      </c>
      <c r="AE67">
        <f t="shared" si="74"/>
        <v>2</v>
      </c>
      <c r="AF67" t="s">
        <v>52</v>
      </c>
      <c r="AG67">
        <f t="shared" si="75"/>
        <v>2</v>
      </c>
      <c r="AH67" t="s">
        <v>51</v>
      </c>
      <c r="AI67">
        <f t="shared" si="76"/>
        <v>1</v>
      </c>
      <c r="AJ67" t="s">
        <v>52</v>
      </c>
      <c r="AK67">
        <f t="shared" si="77"/>
        <v>15</v>
      </c>
      <c r="AL67">
        <f t="shared" si="78"/>
        <v>0</v>
      </c>
      <c r="AM67" t="s">
        <v>51</v>
      </c>
      <c r="AN67">
        <f t="shared" si="79"/>
        <v>1</v>
      </c>
      <c r="AO67" t="s">
        <v>51</v>
      </c>
      <c r="AP67">
        <f t="shared" si="80"/>
        <v>1</v>
      </c>
      <c r="AQ67" t="s">
        <v>51</v>
      </c>
      <c r="AR67">
        <f t="shared" si="66"/>
        <v>1</v>
      </c>
      <c r="AS67" t="s">
        <v>51</v>
      </c>
      <c r="AT67">
        <f t="shared" si="81"/>
        <v>2</v>
      </c>
      <c r="AU67" t="s">
        <v>52</v>
      </c>
      <c r="AV67">
        <f t="shared" si="82"/>
        <v>1</v>
      </c>
      <c r="AW67" t="s">
        <v>51</v>
      </c>
      <c r="AX67">
        <f t="shared" si="83"/>
        <v>1</v>
      </c>
      <c r="AY67" t="s">
        <v>52</v>
      </c>
      <c r="AZ67">
        <f t="shared" si="84"/>
        <v>1</v>
      </c>
      <c r="BA67" t="s">
        <v>52</v>
      </c>
      <c r="BB67">
        <f t="shared" si="85"/>
        <v>2</v>
      </c>
      <c r="BC67" t="s">
        <v>51</v>
      </c>
      <c r="BD67">
        <f t="shared" si="86"/>
        <v>2</v>
      </c>
      <c r="BE67" t="s">
        <v>52</v>
      </c>
      <c r="BF67">
        <f t="shared" si="87"/>
        <v>12</v>
      </c>
      <c r="BG67">
        <f t="shared" si="88"/>
        <v>2</v>
      </c>
      <c r="BH67" t="s">
        <v>53</v>
      </c>
      <c r="BI67">
        <f t="shared" si="89"/>
        <v>2</v>
      </c>
      <c r="BJ67" t="s">
        <v>54</v>
      </c>
      <c r="BK67">
        <v>1</v>
      </c>
      <c r="BL67" t="s">
        <v>56</v>
      </c>
      <c r="BM67">
        <v>1</v>
      </c>
      <c r="BN67" t="s">
        <v>55</v>
      </c>
      <c r="BO67">
        <f t="shared" si="90"/>
        <v>6</v>
      </c>
      <c r="BP67">
        <f t="shared" si="91"/>
        <v>1</v>
      </c>
      <c r="BQ67" t="s">
        <v>60</v>
      </c>
      <c r="BR67">
        <f t="shared" si="92"/>
        <v>0</v>
      </c>
      <c r="BS67" t="s">
        <v>57</v>
      </c>
      <c r="BT67">
        <f t="shared" si="93"/>
        <v>1</v>
      </c>
      <c r="BU67" t="s">
        <v>59</v>
      </c>
      <c r="BV67">
        <f t="shared" si="94"/>
        <v>0</v>
      </c>
      <c r="BW67" t="s">
        <v>58</v>
      </c>
      <c r="BX67">
        <f t="shared" si="95"/>
        <v>0</v>
      </c>
      <c r="BY67" t="s">
        <v>61</v>
      </c>
      <c r="BZ67">
        <f t="shared" si="96"/>
        <v>2</v>
      </c>
      <c r="CA67">
        <f t="shared" si="97"/>
        <v>35</v>
      </c>
    </row>
    <row r="68" spans="1:79">
      <c r="A68" t="s">
        <v>136</v>
      </c>
      <c r="B68" t="s">
        <v>63</v>
      </c>
      <c r="C68" t="s">
        <v>48</v>
      </c>
      <c r="D68" t="s">
        <v>129</v>
      </c>
      <c r="F68" t="s">
        <v>201</v>
      </c>
      <c r="J68">
        <v>9</v>
      </c>
      <c r="K68">
        <v>4</v>
      </c>
      <c r="L68">
        <v>3</v>
      </c>
      <c r="M68">
        <v>1</v>
      </c>
      <c r="N68">
        <v>0</v>
      </c>
      <c r="O68">
        <v>5</v>
      </c>
      <c r="P68">
        <v>0</v>
      </c>
      <c r="Q68">
        <f t="shared" si="67"/>
        <v>1</v>
      </c>
      <c r="R68" t="s">
        <v>51</v>
      </c>
      <c r="S68">
        <f t="shared" si="68"/>
        <v>1</v>
      </c>
      <c r="T68" t="s">
        <v>52</v>
      </c>
      <c r="U68">
        <f t="shared" si="69"/>
        <v>2</v>
      </c>
      <c r="V68" t="s">
        <v>52</v>
      </c>
      <c r="W68">
        <f t="shared" si="70"/>
        <v>0</v>
      </c>
      <c r="X68" t="s">
        <v>52</v>
      </c>
      <c r="Y68">
        <f t="shared" si="71"/>
        <v>2</v>
      </c>
      <c r="Z68" t="s">
        <v>51</v>
      </c>
      <c r="AA68">
        <f t="shared" si="72"/>
        <v>2</v>
      </c>
      <c r="AB68" t="s">
        <v>52</v>
      </c>
      <c r="AC68">
        <f t="shared" si="73"/>
        <v>0</v>
      </c>
      <c r="AD68" t="s">
        <v>52</v>
      </c>
      <c r="AE68">
        <f t="shared" si="74"/>
        <v>2</v>
      </c>
      <c r="AF68" t="s">
        <v>52</v>
      </c>
      <c r="AG68">
        <f t="shared" si="75"/>
        <v>0</v>
      </c>
      <c r="AH68" t="s">
        <v>52</v>
      </c>
      <c r="AI68">
        <f t="shared" si="76"/>
        <v>1</v>
      </c>
      <c r="AJ68" t="s">
        <v>52</v>
      </c>
      <c r="AK68">
        <f t="shared" si="77"/>
        <v>11</v>
      </c>
      <c r="AL68">
        <f t="shared" si="78"/>
        <v>2</v>
      </c>
      <c r="AM68" t="s">
        <v>52</v>
      </c>
      <c r="AN68">
        <f t="shared" si="79"/>
        <v>0</v>
      </c>
      <c r="AO68" t="s">
        <v>52</v>
      </c>
      <c r="AP68">
        <f t="shared" si="80"/>
        <v>0</v>
      </c>
      <c r="AQ68" t="s">
        <v>52</v>
      </c>
      <c r="AR68">
        <f t="shared" si="66"/>
        <v>1</v>
      </c>
      <c r="AS68" t="s">
        <v>52</v>
      </c>
      <c r="AT68">
        <f t="shared" si="81"/>
        <v>2</v>
      </c>
      <c r="AU68" t="s">
        <v>52</v>
      </c>
      <c r="AV68">
        <f t="shared" si="82"/>
        <v>1</v>
      </c>
      <c r="AW68" t="s">
        <v>51</v>
      </c>
      <c r="AX68">
        <f t="shared" si="83"/>
        <v>1</v>
      </c>
      <c r="AY68" t="s">
        <v>52</v>
      </c>
      <c r="AZ68">
        <f t="shared" si="84"/>
        <v>1</v>
      </c>
      <c r="BA68" t="s">
        <v>52</v>
      </c>
      <c r="BB68">
        <f t="shared" si="85"/>
        <v>0</v>
      </c>
      <c r="BC68" t="s">
        <v>52</v>
      </c>
      <c r="BD68">
        <f t="shared" si="86"/>
        <v>2</v>
      </c>
      <c r="BE68" t="s">
        <v>52</v>
      </c>
      <c r="BF68">
        <f t="shared" si="87"/>
        <v>10</v>
      </c>
      <c r="BG68">
        <f t="shared" si="88"/>
        <v>0</v>
      </c>
      <c r="BH68" t="s">
        <v>56</v>
      </c>
      <c r="BI68">
        <f t="shared" si="89"/>
        <v>0</v>
      </c>
      <c r="BJ68" t="s">
        <v>53</v>
      </c>
      <c r="BK68">
        <f>IF(BL68="完全终止",2,0)</f>
        <v>2</v>
      </c>
      <c r="BL68" t="s">
        <v>55</v>
      </c>
      <c r="BM68">
        <f>IF(BN68="变格终止",2,0)</f>
        <v>0</v>
      </c>
      <c r="BN68" t="s">
        <v>54</v>
      </c>
      <c r="BO68">
        <f t="shared" si="90"/>
        <v>2</v>
      </c>
      <c r="BP68">
        <f t="shared" si="91"/>
        <v>0</v>
      </c>
      <c r="BQ68" t="s">
        <v>57</v>
      </c>
      <c r="BR68">
        <f t="shared" si="92"/>
        <v>0</v>
      </c>
      <c r="BS68" t="s">
        <v>60</v>
      </c>
      <c r="BT68">
        <f t="shared" si="93"/>
        <v>1</v>
      </c>
      <c r="BU68" t="s">
        <v>59</v>
      </c>
      <c r="BV68">
        <f t="shared" si="94"/>
        <v>0</v>
      </c>
      <c r="BW68" t="s">
        <v>58</v>
      </c>
      <c r="BX68">
        <f t="shared" si="95"/>
        <v>0</v>
      </c>
      <c r="BY68" t="s">
        <v>59</v>
      </c>
      <c r="BZ68">
        <f t="shared" si="96"/>
        <v>1</v>
      </c>
      <c r="CA68">
        <f t="shared" si="97"/>
        <v>24</v>
      </c>
    </row>
    <row r="69" spans="1:79">
      <c r="A69" t="s">
        <v>137</v>
      </c>
      <c r="B69" t="s">
        <v>63</v>
      </c>
      <c r="C69" t="s">
        <v>76</v>
      </c>
      <c r="D69" t="s">
        <v>129</v>
      </c>
      <c r="F69" t="s">
        <v>203</v>
      </c>
      <c r="J69">
        <v>9</v>
      </c>
      <c r="K69">
        <v>4</v>
      </c>
      <c r="L69">
        <v>5</v>
      </c>
      <c r="M69">
        <v>2</v>
      </c>
      <c r="N69">
        <v>5</v>
      </c>
      <c r="O69">
        <v>4</v>
      </c>
      <c r="P69">
        <v>1</v>
      </c>
      <c r="Q69">
        <f t="shared" si="67"/>
        <v>1</v>
      </c>
      <c r="R69" t="s">
        <v>51</v>
      </c>
      <c r="S69">
        <f t="shared" si="68"/>
        <v>0</v>
      </c>
      <c r="T69" t="s">
        <v>51</v>
      </c>
      <c r="U69">
        <f t="shared" si="69"/>
        <v>0</v>
      </c>
      <c r="V69" t="s">
        <v>51</v>
      </c>
      <c r="W69">
        <f t="shared" si="70"/>
        <v>1</v>
      </c>
      <c r="X69" t="s">
        <v>51</v>
      </c>
      <c r="Y69">
        <f t="shared" si="71"/>
        <v>2</v>
      </c>
      <c r="Z69" t="s">
        <v>51</v>
      </c>
      <c r="AA69">
        <f t="shared" si="72"/>
        <v>0</v>
      </c>
      <c r="AB69" t="s">
        <v>51</v>
      </c>
      <c r="AC69">
        <f t="shared" si="73"/>
        <v>1</v>
      </c>
      <c r="AD69" t="s">
        <v>51</v>
      </c>
      <c r="AE69">
        <f t="shared" si="74"/>
        <v>2</v>
      </c>
      <c r="AF69" t="s">
        <v>52</v>
      </c>
      <c r="AG69">
        <f t="shared" si="75"/>
        <v>2</v>
      </c>
      <c r="AH69" t="s">
        <v>51</v>
      </c>
      <c r="AI69">
        <f t="shared" si="76"/>
        <v>1</v>
      </c>
      <c r="AJ69" t="s">
        <v>52</v>
      </c>
      <c r="AK69">
        <f t="shared" si="77"/>
        <v>10</v>
      </c>
      <c r="AL69">
        <f t="shared" si="78"/>
        <v>2</v>
      </c>
      <c r="AM69" t="s">
        <v>52</v>
      </c>
      <c r="AN69">
        <f t="shared" si="79"/>
        <v>1</v>
      </c>
      <c r="AO69" t="s">
        <v>51</v>
      </c>
      <c r="AP69">
        <f t="shared" si="80"/>
        <v>1</v>
      </c>
      <c r="AQ69" t="s">
        <v>51</v>
      </c>
      <c r="AR69">
        <f t="shared" si="66"/>
        <v>0</v>
      </c>
      <c r="AS69" t="s">
        <v>51</v>
      </c>
      <c r="AT69">
        <f t="shared" si="81"/>
        <v>2</v>
      </c>
      <c r="AU69" t="s">
        <v>52</v>
      </c>
      <c r="AV69">
        <f t="shared" si="82"/>
        <v>1</v>
      </c>
      <c r="AW69" t="s">
        <v>51</v>
      </c>
      <c r="AX69">
        <f t="shared" si="83"/>
        <v>1</v>
      </c>
      <c r="AY69" t="s">
        <v>52</v>
      </c>
      <c r="AZ69">
        <f t="shared" si="84"/>
        <v>1</v>
      </c>
      <c r="BA69" t="s">
        <v>52</v>
      </c>
      <c r="BB69">
        <f t="shared" si="85"/>
        <v>2</v>
      </c>
      <c r="BC69" t="s">
        <v>51</v>
      </c>
      <c r="BD69">
        <f t="shared" si="86"/>
        <v>2</v>
      </c>
      <c r="BE69" t="s">
        <v>52</v>
      </c>
      <c r="BF69">
        <f t="shared" si="87"/>
        <v>13</v>
      </c>
      <c r="BG69">
        <f t="shared" si="88"/>
        <v>2</v>
      </c>
      <c r="BH69" t="s">
        <v>53</v>
      </c>
      <c r="BI69">
        <f t="shared" si="89"/>
        <v>2</v>
      </c>
      <c r="BJ69" t="s">
        <v>54</v>
      </c>
      <c r="BK69">
        <f>IF(BL69="完全终止",2,0)</f>
        <v>2</v>
      </c>
      <c r="BL69" t="s">
        <v>55</v>
      </c>
      <c r="BM69">
        <f>IF(BN69="变格终止",2,0)</f>
        <v>2</v>
      </c>
      <c r="BN69" t="s">
        <v>56</v>
      </c>
      <c r="BO69">
        <f t="shared" si="90"/>
        <v>8</v>
      </c>
      <c r="BP69">
        <f t="shared" si="91"/>
        <v>1</v>
      </c>
      <c r="BQ69" t="s">
        <v>60</v>
      </c>
      <c r="BR69">
        <f t="shared" si="92"/>
        <v>1</v>
      </c>
      <c r="BS69" t="s">
        <v>58</v>
      </c>
      <c r="BT69">
        <f t="shared" si="93"/>
        <v>1</v>
      </c>
      <c r="BU69" t="s">
        <v>59</v>
      </c>
      <c r="BV69">
        <f t="shared" si="94"/>
        <v>1</v>
      </c>
      <c r="BW69" t="s">
        <v>61</v>
      </c>
      <c r="BX69">
        <f t="shared" si="95"/>
        <v>1</v>
      </c>
      <c r="BY69" t="s">
        <v>57</v>
      </c>
      <c r="BZ69">
        <f t="shared" si="96"/>
        <v>5</v>
      </c>
      <c r="CA69">
        <f t="shared" si="97"/>
        <v>36</v>
      </c>
    </row>
    <row r="70" spans="1:79">
      <c r="A70" t="s">
        <v>141</v>
      </c>
      <c r="B70" t="s">
        <v>63</v>
      </c>
      <c r="C70" t="s">
        <v>76</v>
      </c>
      <c r="D70" t="s">
        <v>129</v>
      </c>
      <c r="F70" t="s">
        <v>201</v>
      </c>
      <c r="J70">
        <v>9</v>
      </c>
      <c r="K70">
        <v>4</v>
      </c>
      <c r="L70">
        <v>5</v>
      </c>
      <c r="M70">
        <v>2</v>
      </c>
      <c r="N70">
        <v>0</v>
      </c>
      <c r="O70">
        <v>5</v>
      </c>
      <c r="P70">
        <v>0</v>
      </c>
      <c r="Q70">
        <f t="shared" si="67"/>
        <v>1</v>
      </c>
      <c r="R70" t="s">
        <v>51</v>
      </c>
      <c r="S70">
        <f t="shared" si="68"/>
        <v>1</v>
      </c>
      <c r="T70" t="s">
        <v>52</v>
      </c>
      <c r="U70">
        <f t="shared" si="69"/>
        <v>2</v>
      </c>
      <c r="V70" t="s">
        <v>52</v>
      </c>
      <c r="W70">
        <f t="shared" si="70"/>
        <v>1</v>
      </c>
      <c r="X70" t="s">
        <v>51</v>
      </c>
      <c r="Y70">
        <f t="shared" si="71"/>
        <v>2</v>
      </c>
      <c r="Z70" t="s">
        <v>51</v>
      </c>
      <c r="AA70">
        <f t="shared" si="72"/>
        <v>2</v>
      </c>
      <c r="AB70" t="s">
        <v>52</v>
      </c>
      <c r="AC70">
        <f t="shared" si="73"/>
        <v>1</v>
      </c>
      <c r="AD70" t="s">
        <v>51</v>
      </c>
      <c r="AE70">
        <f t="shared" si="74"/>
        <v>2</v>
      </c>
      <c r="AF70" t="s">
        <v>52</v>
      </c>
      <c r="AG70">
        <f t="shared" si="75"/>
        <v>2</v>
      </c>
      <c r="AH70" t="s">
        <v>51</v>
      </c>
      <c r="AI70">
        <f t="shared" si="76"/>
        <v>1</v>
      </c>
      <c r="AJ70" t="s">
        <v>52</v>
      </c>
      <c r="AK70">
        <f t="shared" si="77"/>
        <v>15</v>
      </c>
      <c r="AL70">
        <f t="shared" si="78"/>
        <v>2</v>
      </c>
      <c r="AM70" t="s">
        <v>52</v>
      </c>
      <c r="AN70">
        <f t="shared" si="79"/>
        <v>1</v>
      </c>
      <c r="AO70" t="s">
        <v>51</v>
      </c>
      <c r="AP70">
        <f t="shared" si="80"/>
        <v>1</v>
      </c>
      <c r="AQ70" t="s">
        <v>51</v>
      </c>
      <c r="AR70">
        <f t="shared" si="66"/>
        <v>1</v>
      </c>
      <c r="AS70" t="s">
        <v>51</v>
      </c>
      <c r="AT70">
        <f t="shared" si="81"/>
        <v>2</v>
      </c>
      <c r="AU70" t="s">
        <v>52</v>
      </c>
      <c r="AV70">
        <f t="shared" si="82"/>
        <v>1</v>
      </c>
      <c r="AW70" t="s">
        <v>51</v>
      </c>
      <c r="AX70">
        <f t="shared" si="83"/>
        <v>1</v>
      </c>
      <c r="AY70" t="s">
        <v>52</v>
      </c>
      <c r="AZ70">
        <f t="shared" si="84"/>
        <v>1</v>
      </c>
      <c r="BA70" t="s">
        <v>52</v>
      </c>
      <c r="BB70">
        <f t="shared" si="85"/>
        <v>2</v>
      </c>
      <c r="BC70" t="s">
        <v>51</v>
      </c>
      <c r="BD70">
        <f t="shared" si="86"/>
        <v>2</v>
      </c>
      <c r="BE70" t="s">
        <v>52</v>
      </c>
      <c r="BF70">
        <f t="shared" si="87"/>
        <v>14</v>
      </c>
      <c r="BG70">
        <f t="shared" si="88"/>
        <v>2</v>
      </c>
      <c r="BH70" t="s">
        <v>53</v>
      </c>
      <c r="BI70">
        <f t="shared" si="89"/>
        <v>2</v>
      </c>
      <c r="BJ70" t="s">
        <v>54</v>
      </c>
      <c r="BK70">
        <f>IF(BL70="完全终止",2,0)</f>
        <v>2</v>
      </c>
      <c r="BL70" t="s">
        <v>55</v>
      </c>
      <c r="BM70">
        <f>IF(BN70="变格终止",2,0)</f>
        <v>2</v>
      </c>
      <c r="BN70" t="s">
        <v>56</v>
      </c>
      <c r="BO70">
        <f t="shared" si="90"/>
        <v>8</v>
      </c>
      <c r="BP70">
        <f t="shared" si="91"/>
        <v>1</v>
      </c>
      <c r="BQ70" t="s">
        <v>60</v>
      </c>
      <c r="BR70">
        <f t="shared" si="92"/>
        <v>1</v>
      </c>
      <c r="BS70" t="s">
        <v>58</v>
      </c>
      <c r="BT70">
        <f t="shared" si="93"/>
        <v>1</v>
      </c>
      <c r="BU70" t="s">
        <v>59</v>
      </c>
      <c r="BV70">
        <f t="shared" si="94"/>
        <v>1</v>
      </c>
      <c r="BW70" t="s">
        <v>61</v>
      </c>
      <c r="BX70">
        <f t="shared" si="95"/>
        <v>1</v>
      </c>
      <c r="BY70" t="s">
        <v>57</v>
      </c>
      <c r="BZ70">
        <f t="shared" si="96"/>
        <v>5</v>
      </c>
      <c r="CA70">
        <f t="shared" si="97"/>
        <v>42</v>
      </c>
    </row>
    <row r="71" spans="1:79">
      <c r="A71" t="s">
        <v>143</v>
      </c>
      <c r="B71" t="s">
        <v>63</v>
      </c>
      <c r="C71" t="s">
        <v>76</v>
      </c>
      <c r="D71" t="s">
        <v>129</v>
      </c>
      <c r="F71" t="s">
        <v>232</v>
      </c>
      <c r="J71">
        <v>9</v>
      </c>
      <c r="K71">
        <v>4</v>
      </c>
      <c r="L71">
        <v>5</v>
      </c>
      <c r="M71">
        <v>2</v>
      </c>
      <c r="N71">
        <v>0</v>
      </c>
      <c r="O71">
        <v>5</v>
      </c>
      <c r="P71">
        <v>0</v>
      </c>
      <c r="Q71">
        <f t="shared" si="67"/>
        <v>1</v>
      </c>
      <c r="R71" t="s">
        <v>51</v>
      </c>
      <c r="S71">
        <f t="shared" si="68"/>
        <v>1</v>
      </c>
      <c r="T71" t="s">
        <v>52</v>
      </c>
      <c r="U71">
        <f t="shared" si="69"/>
        <v>2</v>
      </c>
      <c r="V71" t="s">
        <v>52</v>
      </c>
      <c r="W71">
        <f t="shared" si="70"/>
        <v>1</v>
      </c>
      <c r="X71" t="s">
        <v>51</v>
      </c>
      <c r="Y71">
        <f t="shared" si="71"/>
        <v>0</v>
      </c>
      <c r="Z71" t="s">
        <v>52</v>
      </c>
      <c r="AA71">
        <f t="shared" si="72"/>
        <v>2</v>
      </c>
      <c r="AB71" t="s">
        <v>52</v>
      </c>
      <c r="AC71">
        <f t="shared" si="73"/>
        <v>1</v>
      </c>
      <c r="AD71" t="s">
        <v>51</v>
      </c>
      <c r="AE71">
        <f t="shared" si="74"/>
        <v>2</v>
      </c>
      <c r="AF71" t="s">
        <v>52</v>
      </c>
      <c r="AG71">
        <f t="shared" si="75"/>
        <v>2</v>
      </c>
      <c r="AH71" t="s">
        <v>51</v>
      </c>
      <c r="AI71">
        <f t="shared" si="76"/>
        <v>1</v>
      </c>
      <c r="AJ71" t="s">
        <v>52</v>
      </c>
      <c r="AK71">
        <f t="shared" si="77"/>
        <v>13</v>
      </c>
      <c r="AL71">
        <f t="shared" si="78"/>
        <v>0</v>
      </c>
      <c r="AM71" t="s">
        <v>51</v>
      </c>
      <c r="AN71">
        <f t="shared" si="79"/>
        <v>1</v>
      </c>
      <c r="AO71" t="s">
        <v>51</v>
      </c>
      <c r="AP71">
        <f t="shared" si="80"/>
        <v>1</v>
      </c>
      <c r="AQ71" t="s">
        <v>51</v>
      </c>
      <c r="AR71">
        <f t="shared" si="66"/>
        <v>1</v>
      </c>
      <c r="AS71" t="s">
        <v>51</v>
      </c>
      <c r="AT71">
        <f t="shared" si="81"/>
        <v>2</v>
      </c>
      <c r="AU71" t="s">
        <v>52</v>
      </c>
      <c r="AV71">
        <f t="shared" si="82"/>
        <v>1</v>
      </c>
      <c r="AW71" t="s">
        <v>51</v>
      </c>
      <c r="AX71">
        <f t="shared" si="83"/>
        <v>1</v>
      </c>
      <c r="AY71" t="s">
        <v>52</v>
      </c>
      <c r="AZ71">
        <f t="shared" si="84"/>
        <v>1</v>
      </c>
      <c r="BA71" t="s">
        <v>52</v>
      </c>
      <c r="BB71">
        <f t="shared" si="85"/>
        <v>0</v>
      </c>
      <c r="BC71" t="s">
        <v>52</v>
      </c>
      <c r="BD71">
        <f t="shared" si="86"/>
        <v>0</v>
      </c>
      <c r="BE71" t="s">
        <v>51</v>
      </c>
      <c r="BF71">
        <f t="shared" si="87"/>
        <v>8</v>
      </c>
      <c r="BG71">
        <f t="shared" si="88"/>
        <v>0</v>
      </c>
      <c r="BH71" t="s">
        <v>55</v>
      </c>
      <c r="BI71">
        <f t="shared" si="89"/>
        <v>2</v>
      </c>
      <c r="BJ71" t="s">
        <v>54</v>
      </c>
      <c r="BK71">
        <v>1</v>
      </c>
      <c r="BL71" t="s">
        <v>56</v>
      </c>
      <c r="BM71">
        <f>IF(BN71="变格终止",2,0)</f>
        <v>0</v>
      </c>
      <c r="BN71" t="s">
        <v>53</v>
      </c>
      <c r="BO71">
        <f t="shared" si="90"/>
        <v>3</v>
      </c>
      <c r="BP71">
        <f t="shared" si="91"/>
        <v>1</v>
      </c>
      <c r="BQ71" t="s">
        <v>60</v>
      </c>
      <c r="BR71">
        <f t="shared" si="92"/>
        <v>0</v>
      </c>
      <c r="BS71" t="s">
        <v>57</v>
      </c>
      <c r="BT71">
        <f t="shared" si="93"/>
        <v>1</v>
      </c>
      <c r="BU71" t="s">
        <v>59</v>
      </c>
      <c r="BV71">
        <f t="shared" si="94"/>
        <v>1</v>
      </c>
      <c r="BW71" t="s">
        <v>61</v>
      </c>
      <c r="BX71">
        <f t="shared" si="95"/>
        <v>0</v>
      </c>
      <c r="BY71" t="s">
        <v>58</v>
      </c>
      <c r="BZ71">
        <f t="shared" si="96"/>
        <v>3</v>
      </c>
      <c r="CA71">
        <f t="shared" si="97"/>
        <v>27</v>
      </c>
    </row>
    <row r="72" spans="1:79">
      <c r="A72" t="s">
        <v>146</v>
      </c>
      <c r="B72" t="s">
        <v>63</v>
      </c>
      <c r="C72" t="s">
        <v>76</v>
      </c>
      <c r="D72" t="s">
        <v>129</v>
      </c>
      <c r="F72" t="s">
        <v>233</v>
      </c>
      <c r="J72">
        <v>9</v>
      </c>
      <c r="K72">
        <v>4</v>
      </c>
      <c r="L72">
        <v>2</v>
      </c>
      <c r="M72">
        <v>4</v>
      </c>
      <c r="N72">
        <v>5</v>
      </c>
      <c r="O72">
        <v>0</v>
      </c>
      <c r="P72">
        <f>IF(Q87="不同",1,0)</f>
        <v>0</v>
      </c>
      <c r="Q72">
        <f t="shared" si="67"/>
        <v>1</v>
      </c>
      <c r="R72" t="s">
        <v>51</v>
      </c>
      <c r="S72">
        <f t="shared" si="68"/>
        <v>1</v>
      </c>
      <c r="T72" t="s">
        <v>52</v>
      </c>
      <c r="U72">
        <f t="shared" si="69"/>
        <v>0</v>
      </c>
      <c r="V72" t="s">
        <v>51</v>
      </c>
      <c r="W72">
        <f t="shared" si="70"/>
        <v>1</v>
      </c>
      <c r="X72" t="s">
        <v>51</v>
      </c>
      <c r="Y72">
        <f t="shared" si="71"/>
        <v>2</v>
      </c>
      <c r="Z72" t="s">
        <v>51</v>
      </c>
      <c r="AA72">
        <f t="shared" si="72"/>
        <v>2</v>
      </c>
      <c r="AB72" t="s">
        <v>52</v>
      </c>
      <c r="AC72">
        <f t="shared" si="73"/>
        <v>1</v>
      </c>
      <c r="AD72" t="s">
        <v>51</v>
      </c>
      <c r="AE72">
        <f t="shared" si="74"/>
        <v>2</v>
      </c>
      <c r="AF72" t="s">
        <v>52</v>
      </c>
      <c r="AG72">
        <f t="shared" si="75"/>
        <v>0</v>
      </c>
      <c r="AH72" t="s">
        <v>52</v>
      </c>
      <c r="AI72">
        <f t="shared" si="76"/>
        <v>1</v>
      </c>
      <c r="AJ72" t="s">
        <v>52</v>
      </c>
      <c r="AK72">
        <f t="shared" si="77"/>
        <v>11</v>
      </c>
      <c r="AL72">
        <f t="shared" si="78"/>
        <v>0</v>
      </c>
      <c r="AM72" t="s">
        <v>51</v>
      </c>
      <c r="AN72">
        <f t="shared" si="79"/>
        <v>1</v>
      </c>
      <c r="AO72" t="s">
        <v>51</v>
      </c>
      <c r="AP72">
        <f t="shared" si="80"/>
        <v>0</v>
      </c>
      <c r="AQ72" t="s">
        <v>52</v>
      </c>
      <c r="AR72">
        <f t="shared" si="66"/>
        <v>1</v>
      </c>
      <c r="AS72" t="s">
        <v>51</v>
      </c>
      <c r="AT72">
        <f t="shared" si="81"/>
        <v>2</v>
      </c>
      <c r="AU72" t="s">
        <v>52</v>
      </c>
      <c r="AV72">
        <f t="shared" si="82"/>
        <v>1</v>
      </c>
      <c r="AW72" t="s">
        <v>51</v>
      </c>
      <c r="AX72">
        <f t="shared" si="83"/>
        <v>1</v>
      </c>
      <c r="AY72" t="s">
        <v>52</v>
      </c>
      <c r="AZ72">
        <f t="shared" si="84"/>
        <v>1</v>
      </c>
      <c r="BA72" t="s">
        <v>52</v>
      </c>
      <c r="BB72">
        <f t="shared" si="85"/>
        <v>0</v>
      </c>
      <c r="BC72" t="s">
        <v>52</v>
      </c>
      <c r="BD72">
        <f t="shared" si="86"/>
        <v>0</v>
      </c>
      <c r="BE72" t="s">
        <v>51</v>
      </c>
      <c r="BF72">
        <f t="shared" si="87"/>
        <v>7</v>
      </c>
      <c r="BG72">
        <f t="shared" si="88"/>
        <v>0</v>
      </c>
      <c r="BH72" t="s">
        <v>54</v>
      </c>
      <c r="BI72">
        <f t="shared" si="89"/>
        <v>0</v>
      </c>
      <c r="BJ72" t="s">
        <v>56</v>
      </c>
      <c r="BK72">
        <v>0</v>
      </c>
      <c r="BL72" t="s">
        <v>53</v>
      </c>
      <c r="BM72">
        <v>1</v>
      </c>
      <c r="BN72" t="s">
        <v>55</v>
      </c>
      <c r="BO72">
        <f t="shared" si="90"/>
        <v>1</v>
      </c>
      <c r="BP72">
        <f t="shared" si="91"/>
        <v>0</v>
      </c>
      <c r="BQ72" t="s">
        <v>57</v>
      </c>
      <c r="BR72">
        <f t="shared" si="92"/>
        <v>1</v>
      </c>
      <c r="BS72" t="s">
        <v>58</v>
      </c>
      <c r="BT72">
        <f t="shared" si="93"/>
        <v>1</v>
      </c>
      <c r="BU72" t="s">
        <v>59</v>
      </c>
      <c r="BV72">
        <f t="shared" si="94"/>
        <v>1</v>
      </c>
      <c r="BW72" t="s">
        <v>61</v>
      </c>
      <c r="BX72">
        <f t="shared" si="95"/>
        <v>0</v>
      </c>
      <c r="BY72" t="s">
        <v>60</v>
      </c>
      <c r="BZ72">
        <f t="shared" si="96"/>
        <v>3</v>
      </c>
      <c r="CA72">
        <f t="shared" si="97"/>
        <v>22</v>
      </c>
    </row>
    <row r="73" spans="1:79">
      <c r="A73" t="s">
        <v>243</v>
      </c>
      <c r="B73" t="s">
        <v>63</v>
      </c>
      <c r="C73" t="s">
        <v>79</v>
      </c>
      <c r="D73" t="s">
        <v>129</v>
      </c>
      <c r="J73">
        <v>9</v>
      </c>
      <c r="K73">
        <v>3</v>
      </c>
      <c r="L73">
        <v>5</v>
      </c>
      <c r="M73">
        <v>2</v>
      </c>
      <c r="N73">
        <v>4</v>
      </c>
      <c r="O73">
        <v>5</v>
      </c>
      <c r="P73">
        <v>1</v>
      </c>
      <c r="Q73">
        <f t="shared" si="67"/>
        <v>1</v>
      </c>
      <c r="R73" t="s">
        <v>51</v>
      </c>
      <c r="S73">
        <f t="shared" si="68"/>
        <v>1</v>
      </c>
      <c r="T73" t="s">
        <v>52</v>
      </c>
      <c r="U73">
        <f t="shared" si="69"/>
        <v>2</v>
      </c>
      <c r="V73" t="s">
        <v>52</v>
      </c>
      <c r="W73">
        <f t="shared" si="70"/>
        <v>1</v>
      </c>
      <c r="X73" t="s">
        <v>51</v>
      </c>
      <c r="Y73">
        <f t="shared" si="71"/>
        <v>2</v>
      </c>
      <c r="Z73" t="s">
        <v>51</v>
      </c>
      <c r="AA73">
        <f t="shared" si="72"/>
        <v>2</v>
      </c>
      <c r="AB73" t="s">
        <v>52</v>
      </c>
      <c r="AC73">
        <f t="shared" si="73"/>
        <v>1</v>
      </c>
      <c r="AD73" t="s">
        <v>51</v>
      </c>
      <c r="AE73">
        <f t="shared" si="74"/>
        <v>2</v>
      </c>
      <c r="AF73" t="s">
        <v>52</v>
      </c>
      <c r="AG73">
        <f t="shared" si="75"/>
        <v>2</v>
      </c>
      <c r="AH73" t="s">
        <v>51</v>
      </c>
      <c r="AI73">
        <f t="shared" si="76"/>
        <v>1</v>
      </c>
      <c r="AJ73" t="s">
        <v>52</v>
      </c>
      <c r="AK73">
        <f t="shared" si="77"/>
        <v>15</v>
      </c>
      <c r="AL73">
        <f t="shared" si="78"/>
        <v>2</v>
      </c>
      <c r="AM73" t="s">
        <v>52</v>
      </c>
      <c r="AN73">
        <f t="shared" si="79"/>
        <v>1</v>
      </c>
      <c r="AO73" t="s">
        <v>51</v>
      </c>
      <c r="AP73">
        <f t="shared" si="80"/>
        <v>1</v>
      </c>
      <c r="AQ73" t="s">
        <v>51</v>
      </c>
      <c r="AR73">
        <f t="shared" si="66"/>
        <v>1</v>
      </c>
      <c r="AS73" t="s">
        <v>51</v>
      </c>
      <c r="AT73">
        <f t="shared" si="81"/>
        <v>2</v>
      </c>
      <c r="AU73" t="s">
        <v>52</v>
      </c>
      <c r="AV73">
        <f t="shared" si="82"/>
        <v>1</v>
      </c>
      <c r="AW73" t="s">
        <v>51</v>
      </c>
      <c r="AX73">
        <f t="shared" si="83"/>
        <v>1</v>
      </c>
      <c r="AY73" t="s">
        <v>52</v>
      </c>
      <c r="AZ73">
        <f t="shared" si="84"/>
        <v>1</v>
      </c>
      <c r="BA73" t="s">
        <v>52</v>
      </c>
      <c r="BB73">
        <f t="shared" si="85"/>
        <v>2</v>
      </c>
      <c r="BC73" t="s">
        <v>51</v>
      </c>
      <c r="BD73">
        <f t="shared" si="86"/>
        <v>2</v>
      </c>
      <c r="BE73" t="s">
        <v>52</v>
      </c>
      <c r="BF73">
        <f t="shared" si="87"/>
        <v>14</v>
      </c>
      <c r="BG73">
        <f t="shared" si="88"/>
        <v>2</v>
      </c>
      <c r="BH73" t="s">
        <v>53</v>
      </c>
      <c r="BI73">
        <f t="shared" si="89"/>
        <v>2</v>
      </c>
      <c r="BJ73" t="s">
        <v>54</v>
      </c>
      <c r="BK73">
        <v>2</v>
      </c>
      <c r="BL73" t="s">
        <v>55</v>
      </c>
      <c r="BM73">
        <v>2</v>
      </c>
      <c r="BN73" t="s">
        <v>56</v>
      </c>
      <c r="BO73">
        <f t="shared" si="90"/>
        <v>8</v>
      </c>
      <c r="BP73">
        <f t="shared" si="91"/>
        <v>1</v>
      </c>
      <c r="BQ73" t="s">
        <v>60</v>
      </c>
      <c r="BR73">
        <f t="shared" si="92"/>
        <v>1</v>
      </c>
      <c r="BS73" t="s">
        <v>58</v>
      </c>
      <c r="BT73">
        <f t="shared" si="93"/>
        <v>1</v>
      </c>
      <c r="BU73" t="s">
        <v>59</v>
      </c>
      <c r="BV73">
        <f t="shared" si="94"/>
        <v>1</v>
      </c>
      <c r="BW73" t="s">
        <v>61</v>
      </c>
      <c r="BX73">
        <f t="shared" si="95"/>
        <v>1</v>
      </c>
      <c r="BY73" t="s">
        <v>57</v>
      </c>
      <c r="BZ73">
        <f t="shared" si="96"/>
        <v>5</v>
      </c>
      <c r="CA73">
        <f t="shared" si="97"/>
        <v>42</v>
      </c>
    </row>
    <row r="74" spans="1:79">
      <c r="A74" t="s">
        <v>248</v>
      </c>
      <c r="B74" t="s">
        <v>63</v>
      </c>
      <c r="C74" t="s">
        <v>76</v>
      </c>
      <c r="D74" t="s">
        <v>129</v>
      </c>
      <c r="J74">
        <v>9</v>
      </c>
      <c r="K74">
        <v>4</v>
      </c>
      <c r="L74">
        <v>3</v>
      </c>
      <c r="M74">
        <v>1</v>
      </c>
      <c r="N74">
        <v>5</v>
      </c>
      <c r="O74">
        <v>4</v>
      </c>
      <c r="P74">
        <v>0</v>
      </c>
      <c r="Q74">
        <f t="shared" si="67"/>
        <v>1</v>
      </c>
      <c r="R74" t="s">
        <v>51</v>
      </c>
      <c r="S74">
        <f t="shared" si="68"/>
        <v>1</v>
      </c>
      <c r="T74" t="s">
        <v>52</v>
      </c>
      <c r="U74">
        <f t="shared" si="69"/>
        <v>0</v>
      </c>
      <c r="V74" t="s">
        <v>51</v>
      </c>
      <c r="W74">
        <f t="shared" si="70"/>
        <v>1</v>
      </c>
      <c r="X74" t="s">
        <v>51</v>
      </c>
      <c r="Y74">
        <f t="shared" si="71"/>
        <v>2</v>
      </c>
      <c r="Z74" t="s">
        <v>51</v>
      </c>
      <c r="AA74">
        <f t="shared" si="72"/>
        <v>2</v>
      </c>
      <c r="AB74" t="s">
        <v>52</v>
      </c>
      <c r="AC74">
        <f t="shared" si="73"/>
        <v>1</v>
      </c>
      <c r="AD74" t="s">
        <v>51</v>
      </c>
      <c r="AE74">
        <f t="shared" si="74"/>
        <v>2</v>
      </c>
      <c r="AF74" t="s">
        <v>52</v>
      </c>
      <c r="AG74">
        <f t="shared" si="75"/>
        <v>0</v>
      </c>
      <c r="AH74" t="s">
        <v>52</v>
      </c>
      <c r="AI74">
        <f t="shared" si="76"/>
        <v>1</v>
      </c>
      <c r="AJ74" t="s">
        <v>52</v>
      </c>
      <c r="AK74">
        <f t="shared" si="77"/>
        <v>11</v>
      </c>
      <c r="AL74">
        <f t="shared" si="78"/>
        <v>2</v>
      </c>
      <c r="AM74" t="s">
        <v>52</v>
      </c>
      <c r="AN74">
        <f t="shared" si="79"/>
        <v>1</v>
      </c>
      <c r="AO74" t="s">
        <v>51</v>
      </c>
      <c r="AP74">
        <f t="shared" si="80"/>
        <v>1</v>
      </c>
      <c r="AQ74" t="s">
        <v>51</v>
      </c>
      <c r="AR74">
        <f t="shared" si="66"/>
        <v>1</v>
      </c>
      <c r="AS74" t="s">
        <v>51</v>
      </c>
      <c r="AT74">
        <f t="shared" si="81"/>
        <v>2</v>
      </c>
      <c r="AU74" t="s">
        <v>52</v>
      </c>
      <c r="AV74">
        <f t="shared" si="82"/>
        <v>1</v>
      </c>
      <c r="AW74" t="s">
        <v>51</v>
      </c>
      <c r="AX74">
        <f t="shared" si="83"/>
        <v>1</v>
      </c>
      <c r="AY74" t="s">
        <v>52</v>
      </c>
      <c r="AZ74">
        <f t="shared" si="84"/>
        <v>1</v>
      </c>
      <c r="BA74" t="s">
        <v>52</v>
      </c>
      <c r="BB74">
        <f t="shared" si="85"/>
        <v>2</v>
      </c>
      <c r="BC74" t="s">
        <v>51</v>
      </c>
      <c r="BD74">
        <f t="shared" si="86"/>
        <v>2</v>
      </c>
      <c r="BE74" t="s">
        <v>52</v>
      </c>
      <c r="BF74">
        <f t="shared" si="87"/>
        <v>14</v>
      </c>
      <c r="BG74">
        <f t="shared" si="88"/>
        <v>2</v>
      </c>
      <c r="BH74" t="s">
        <v>53</v>
      </c>
      <c r="BI74">
        <f t="shared" si="89"/>
        <v>2</v>
      </c>
      <c r="BJ74" t="s">
        <v>54</v>
      </c>
      <c r="BK74">
        <v>0</v>
      </c>
      <c r="BL74" t="s">
        <v>53</v>
      </c>
      <c r="BM74">
        <v>2</v>
      </c>
      <c r="BN74" t="s">
        <v>56</v>
      </c>
      <c r="BO74">
        <f t="shared" si="90"/>
        <v>6</v>
      </c>
      <c r="BP74">
        <f t="shared" si="91"/>
        <v>0</v>
      </c>
      <c r="BQ74" t="s">
        <v>61</v>
      </c>
      <c r="BR74">
        <f t="shared" si="92"/>
        <v>1</v>
      </c>
      <c r="BS74" t="s">
        <v>58</v>
      </c>
      <c r="BT74">
        <f t="shared" si="93"/>
        <v>1</v>
      </c>
      <c r="BU74" t="s">
        <v>59</v>
      </c>
      <c r="BV74">
        <f t="shared" si="94"/>
        <v>0</v>
      </c>
      <c r="BW74" t="s">
        <v>57</v>
      </c>
      <c r="BX74">
        <f t="shared" si="95"/>
        <v>0</v>
      </c>
      <c r="BY74" t="s">
        <v>60</v>
      </c>
      <c r="BZ74">
        <f t="shared" si="96"/>
        <v>2</v>
      </c>
      <c r="CA74">
        <f t="shared" si="97"/>
        <v>33</v>
      </c>
    </row>
    <row r="76" spans="1:79">
      <c r="B76">
        <f>COUNTIF(B2:B74,"女")</f>
        <v>55</v>
      </c>
      <c r="AL76">
        <f>COUNTIF(AL2:AL74, "2")</f>
        <v>39</v>
      </c>
      <c r="AT76">
        <f>COUNTIF(AT2:AT74, "2")</f>
        <v>58</v>
      </c>
      <c r="BB76">
        <f>COUNTIF(BB2:BB74, "2")</f>
        <v>50</v>
      </c>
      <c r="BD76">
        <f>COUNTIF(BD2:BD74, "2")</f>
        <v>59</v>
      </c>
    </row>
    <row r="77" spans="1:79">
      <c r="J77">
        <f>AVERAGE(J2:J74)</f>
        <v>6.2123287671232879</v>
      </c>
      <c r="N77">
        <f>AVERAGE(N2:N74)</f>
        <v>2.0410958904109591</v>
      </c>
    </row>
    <row r="78" spans="1:79">
      <c r="J78">
        <f>_xlfn.STDEV.P(J2:J74)</f>
        <v>1.8541286921302609</v>
      </c>
    </row>
  </sheetData>
  <sortState xmlns:xlrd2="http://schemas.microsoft.com/office/spreadsheetml/2017/richdata2" ref="A2:CA79">
    <sortCondition ref="J2:J79"/>
  </sortState>
  <phoneticPr fontId="18" type="noConversion"/>
  <hyperlinks>
    <hyperlink ref="I20" r:id="rId1" xr:uid="{5ADD6CB0-443A-8540-B0FB-252162E7C065}"/>
    <hyperlink ref="I21" r:id="rId2" xr:uid="{CACE5E17-7778-ED4C-BB33-413141BA3D49}"/>
    <hyperlink ref="I44" r:id="rId3" xr:uid="{87EF924A-0B6C-8142-811E-A1FE65B43A0A}"/>
    <hyperlink ref="I35" r:id="rId4" location=":~:text=%E8%80%81%E6%B4%BE%E5%AE%81%E6%B3%A2%E8%AF%9D%E6%9C%897,%E5%85%A5%E4%BA%86%E9%98%B3%E5%8E%BB%E5%A3%B0%E8%B0%83%E3%80%82" xr:uid="{2B9B0F93-C3A7-5D4B-B464-C96420878F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guo</dc:creator>
  <cp:lastModifiedBy>tiffany guo</cp:lastModifiedBy>
  <dcterms:created xsi:type="dcterms:W3CDTF">2025-06-14T15:52:27Z</dcterms:created>
  <dcterms:modified xsi:type="dcterms:W3CDTF">2025-09-19T17:43:17Z</dcterms:modified>
</cp:coreProperties>
</file>